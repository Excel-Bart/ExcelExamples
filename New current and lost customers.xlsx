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ichtingfontys-my.sharepoint.com/personal/879314_fontys_nl/Documents/Projecten 2026/Own Excel models 2026/"/>
    </mc:Choice>
  </mc:AlternateContent>
  <xr:revisionPtr revIDLastSave="545" documentId="8_{34331CBC-509B-406C-A255-3AB782C40251}" xr6:coauthVersionLast="47" xr6:coauthVersionMax="47" xr10:uidLastSave="{C73BC3B0-E9D5-43AF-B5BE-547BAD550622}"/>
  <bookViews>
    <workbookView xWindow="-110" yWindow="-110" windowWidth="38620" windowHeight="21100" xr2:uid="{7158E2FC-F296-4126-9A43-9D68DE4E8B19}"/>
  </bookViews>
  <sheets>
    <sheet name="RANDARRAY (more years)" sheetId="5" r:id="rId1"/>
    <sheet name="RANDARRAY" sheetId="3" r:id="rId2"/>
    <sheet name="Pivot" sheetId="4" r:id="rId3"/>
    <sheet name="Fixed" sheetId="2" r:id="rId4"/>
    <sheet name="info" sheetId="1" r:id="rId5"/>
  </sheets>
  <definedNames>
    <definedName name="All_Formulas">_xlfn.LAMBDA(_xlpm.reference,IFERROR(_xlfn.TOCOL(ADDRESS(ROW(_xlpm.reference),COLUMN(_xlpm.reference),4)&amp;" : "&amp;_xlfn.FORMULATEXT(_xlpm.reference),2),"no formulas in range"))</definedName>
  </definedNames>
  <calcPr calcId="191029"/>
  <pivotCaches>
    <pivotCache cacheId="25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5" l="1"/>
  <c r="M23" i="5"/>
  <c r="D9" i="5" a="1"/>
  <c r="D9" i="5" s="1"/>
  <c r="C9" i="5" a="1"/>
  <c r="B9" i="5" a="1"/>
  <c r="M12" i="4"/>
  <c r="M13" i="4"/>
  <c r="M14" i="4"/>
  <c r="M15" i="4"/>
  <c r="M16" i="4"/>
  <c r="M17" i="4"/>
  <c r="M18" i="4"/>
  <c r="M19" i="4"/>
  <c r="M20" i="4"/>
  <c r="M11" i="4"/>
  <c r="K9" i="2"/>
  <c r="N18" i="2" a="1"/>
  <c r="N18" i="2" s="1"/>
  <c r="H18" i="2" a="1"/>
  <c r="H18" i="2" s="1"/>
  <c r="R6" i="2" a="1"/>
  <c r="R6" i="2" s="1"/>
  <c r="H21" i="2" a="1"/>
  <c r="H21" i="2" s="1"/>
  <c r="L23" i="3"/>
  <c r="D9" i="3" a="1"/>
  <c r="C9" i="3" a="1"/>
  <c r="B9" i="3" a="1"/>
  <c r="L20" i="2"/>
  <c r="D17" i="1" a="1"/>
  <c r="D17" i="1" s="1"/>
  <c r="D19" i="1" s="1"/>
  <c r="C73" i="5" a="1"/>
  <c r="I73" i="5" a="1"/>
  <c r="B43" i="2" a="1"/>
  <c r="F43" i="3" a="1"/>
  <c r="C73" i="5" l="1"/>
  <c r="I73" i="5"/>
  <c r="K12" i="5"/>
  <c r="B9" i="5"/>
  <c r="H24" i="5" s="1" a="1"/>
  <c r="C9" i="5"/>
  <c r="R9" i="5" s="1" a="1"/>
  <c r="B43" i="2"/>
  <c r="P34" i="2"/>
  <c r="Q34" i="2"/>
  <c r="K21" i="2" a="1"/>
  <c r="K21" i="2" s="1"/>
  <c r="I21" i="2" a="1"/>
  <c r="I21" i="2" s="1"/>
  <c r="L21" i="2" a="1"/>
  <c r="L21" i="2" s="1"/>
  <c r="F43" i="3"/>
  <c r="C9" i="3"/>
  <c r="R9" i="3" s="1" a="1"/>
  <c r="R9" i="3" s="1"/>
  <c r="B9" i="3"/>
  <c r="H24" i="3" s="1" a="1"/>
  <c r="D9" i="3"/>
  <c r="K12" i="3" s="1"/>
  <c r="R9" i="5" l="1"/>
  <c r="H21" i="5" s="1"/>
  <c r="H24" i="5"/>
  <c r="K11" i="5" s="1"/>
  <c r="N21" i="5" a="1"/>
  <c r="N21" i="5" s="1"/>
  <c r="H21" i="3" a="1"/>
  <c r="H21" i="3" s="1"/>
  <c r="N21" i="3" a="1"/>
  <c r="N21" i="3" s="1"/>
  <c r="H24" i="3"/>
  <c r="K11" i="3" s="1"/>
  <c r="N20" i="5" l="1" a="1"/>
  <c r="N20" i="5" s="1"/>
  <c r="H20" i="5" s="1"/>
  <c r="M24" i="5" a="1"/>
  <c r="M24" i="5" s="1"/>
  <c r="L24" i="5" a="1"/>
  <c r="K24" i="5" a="1"/>
  <c r="I24" i="5" a="1"/>
  <c r="I24" i="3" a="1"/>
  <c r="I24" i="3" s="1"/>
  <c r="J24" i="3" s="1" a="1"/>
  <c r="J24" i="3" s="1"/>
  <c r="L24" i="3" a="1"/>
  <c r="L24" i="3" s="1"/>
  <c r="K24" i="3" a="1"/>
  <c r="K24" i="3" s="1"/>
  <c r="O34" i="2"/>
  <c r="K8" i="2"/>
  <c r="J21" i="2" a="1"/>
  <c r="L24" i="5" l="1"/>
  <c r="I24" i="5"/>
  <c r="J24" i="5" s="1" a="1"/>
  <c r="J24" i="5" s="1"/>
  <c r="K24" i="5"/>
  <c r="K10" i="5" s="1"/>
  <c r="M24" i="3" a="1"/>
  <c r="M24" i="3" s="1"/>
  <c r="K10" i="3"/>
  <c r="J21" i="2"/>
  <c r="N24" i="5" l="1" a="1"/>
  <c r="N24" i="3" a="1"/>
  <c r="M21" i="2" a="1"/>
  <c r="K7" i="2"/>
  <c r="N24" i="5" l="1"/>
  <c r="N24" i="3"/>
  <c r="H16" i="3" s="1"/>
  <c r="M21" i="2"/>
  <c r="N21" i="2" s="1" a="1"/>
  <c r="J16" i="5" l="1"/>
  <c r="E9" i="5" a="1"/>
  <c r="E9" i="5" s="1"/>
  <c r="L16" i="5"/>
  <c r="H16" i="5"/>
  <c r="E6" i="2" a="1"/>
  <c r="E6" i="2" s="1"/>
  <c r="E9" i="3" a="1"/>
  <c r="E9" i="3" s="1"/>
  <c r="L16" i="3"/>
  <c r="J16" i="3"/>
  <c r="N21" i="2"/>
  <c r="H13" i="2" s="1"/>
  <c r="N20" i="3" l="1"/>
  <c r="H20" i="3"/>
  <c r="Q37" i="2"/>
  <c r="Q38" i="2"/>
  <c r="I36" i="2" a="1"/>
  <c r="I36" i="2" s="1"/>
  <c r="I35" i="2" a="1"/>
  <c r="I35" i="2" s="1"/>
  <c r="I34" i="2" a="1"/>
  <c r="I34" i="2" s="1"/>
  <c r="L13" i="2"/>
  <c r="J13" i="2"/>
  <c r="Q39" i="2" l="1"/>
  <c r="P36" i="2"/>
  <c r="P35" i="2"/>
  <c r="H17" i="2"/>
  <c r="N17" i="2"/>
  <c r="P39" i="2" l="1"/>
  <c r="O39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Bart Titulaer</author>
  </authors>
  <commentList>
    <comment ref="S9" authorId="0" shapeId="0" xr:uid="{E58A8042-E670-4502-9FFC-55088E19A8EF}">
      <text>
        <r>
          <rPr>
            <b/>
            <sz val="9"/>
            <color indexed="81"/>
            <rFont val="Tahoma"/>
            <family val="2"/>
          </rPr>
          <t>Bart Titulaer:</t>
        </r>
        <r>
          <rPr>
            <sz val="9"/>
            <color indexed="81"/>
            <rFont val="Tahoma"/>
            <family val="2"/>
          </rPr>
          <t xml:space="preserve">
Click on the button to increase the size of this screenshot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Bart Titulaer</author>
  </authors>
  <commentList>
    <comment ref="S9" authorId="0" shapeId="0" xr:uid="{3E0CFB57-317F-46E3-8225-CEF9481A2F85}">
      <text>
        <r>
          <rPr>
            <b/>
            <sz val="9"/>
            <color indexed="81"/>
            <rFont val="Tahoma"/>
            <family val="2"/>
          </rPr>
          <t>Bart Titulaer:</t>
        </r>
        <r>
          <rPr>
            <sz val="9"/>
            <color indexed="81"/>
            <rFont val="Tahoma"/>
            <family val="2"/>
          </rPr>
          <t xml:space="preserve">
Click on the button to increase the size of this screenshot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Bart Titulaer</author>
  </authors>
  <commentList>
    <comment ref="S6" authorId="0" shapeId="0" xr:uid="{E5DF0B76-5E15-4F10-9CFA-80AC706EDFA1}">
      <text>
        <r>
          <rPr>
            <b/>
            <sz val="9"/>
            <color indexed="81"/>
            <rFont val="Tahoma"/>
            <family val="2"/>
          </rPr>
          <t>Bart Titulaer:</t>
        </r>
        <r>
          <rPr>
            <sz val="9"/>
            <color indexed="81"/>
            <rFont val="Tahoma"/>
            <family val="2"/>
          </rPr>
          <t xml:space="preserve">
Click on the button to increase the size of this screenshot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<sst xmlns="http://schemas.openxmlformats.org/spreadsheetml/2006/main" count="180" uniqueCount="60">
  <si>
    <t>Date created:</t>
  </si>
  <si>
    <t>Title:</t>
  </si>
  <si>
    <t>Author</t>
  </si>
  <si>
    <t>Objective</t>
  </si>
  <si>
    <t>Shared ?</t>
  </si>
  <si>
    <t>Remarks:</t>
  </si>
  <si>
    <t>Path:</t>
  </si>
  <si>
    <t>Date modified:</t>
  </si>
  <si>
    <t>Full path (online)</t>
  </si>
  <si>
    <t>Customer</t>
  </si>
  <si>
    <t>Order Date</t>
  </si>
  <si>
    <t>Value</t>
  </si>
  <si>
    <t>rows</t>
  </si>
  <si>
    <t>date range</t>
  </si>
  <si>
    <t>Value range</t>
  </si>
  <si>
    <t>Last order date</t>
  </si>
  <si>
    <t>nr of customers</t>
  </si>
  <si>
    <t>transactions</t>
  </si>
  <si>
    <t>helper</t>
  </si>
  <si>
    <t>Category</t>
  </si>
  <si>
    <t>Recurring:</t>
  </si>
  <si>
    <t>New</t>
  </si>
  <si>
    <t>New:</t>
  </si>
  <si>
    <t>Recurring</t>
  </si>
  <si>
    <t>Lost</t>
  </si>
  <si>
    <t>Last year</t>
  </si>
  <si>
    <t>Customers</t>
  </si>
  <si>
    <t>Transactions</t>
  </si>
  <si>
    <t>Transactions:</t>
  </si>
  <si>
    <t>Customers:</t>
  </si>
  <si>
    <t>Lost:</t>
  </si>
  <si>
    <t>Explanation for the helper column</t>
  </si>
  <si>
    <t>Turnover:</t>
  </si>
  <si>
    <t>Total:</t>
  </si>
  <si>
    <t>cust-07</t>
  </si>
  <si>
    <t>cust-10</t>
  </si>
  <si>
    <t>cust-04</t>
  </si>
  <si>
    <t>cust-01</t>
  </si>
  <si>
    <t>cust-02</t>
  </si>
  <si>
    <t>cust-08</t>
  </si>
  <si>
    <t>cust-03</t>
  </si>
  <si>
    <t>cust-06</t>
  </si>
  <si>
    <t>cust-09</t>
  </si>
  <si>
    <t>cust-05</t>
  </si>
  <si>
    <t>Category look up</t>
  </si>
  <si>
    <t>Turnover</t>
  </si>
  <si>
    <t>check:</t>
  </si>
  <si>
    <t>Lost, Recurring and New Customer Analysis</t>
  </si>
  <si>
    <t>given table data</t>
  </si>
  <si>
    <t xml:space="preserve">Category </t>
  </si>
  <si>
    <t>Remark: the RANDARRAY does give some errors, try pressing F9 a few times.</t>
  </si>
  <si>
    <t>Grand Total</t>
  </si>
  <si>
    <t>Years (Order Date)</t>
  </si>
  <si>
    <t>2024</t>
  </si>
  <si>
    <t>2025</t>
  </si>
  <si>
    <t>Sum of Value</t>
  </si>
  <si>
    <t>Count of Value</t>
  </si>
  <si>
    <t>Explanations:</t>
  </si>
  <si>
    <t>Previous</t>
  </si>
  <si>
    <t>Definition "Lost Customer" :  a customer who's last purchase was in the year: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</si>
</sst>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€&quot;\ * #,##0.00_ ;_ &quot;€&quot;\ * \-#,##0.00_ ;_ &quot;€&quot;\ * &quot;-&quot;??_ ;_ @_ "/>
    <numFmt numFmtId="166" formatCode="_ &quot;€&quot;\ * #,##0_ ;_ &quot;€&quot;\ * \-#,##0_ ;_ &quot;€&quot;\ * &quot;-&quot;??_ ;_ @_ "/>
  </numFmts>
  <fonts count="9" x14ac:knownFonts="1">
    <font>
      <sz val="11"/>
      <color theme="1"/>
      <name val="Arial"/>
      <family val="2"/>
    </font>
    <font>
      <sz val="11"/>
      <color rgb="FF3F3F76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3F3F76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2"/>
      <color theme="1"/>
      <name val="Arial"/>
      <family val="2"/>
    </font>
    <font>
      <b/>
      <sz val="12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44" fontId="3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0" fontId="1" fillId="2" borderId="1" xfId="1"/>
    <xf numFmtId="14" fontId="0" fillId="0" borderId="0" xfId="0" applyNumberFormat="1"/>
    <xf numFmtId="166" fontId="0" fillId="0" borderId="0" xfId="2" applyNumberFormat="1" applyFont="1"/>
    <xf numFmtId="14" fontId="1" fillId="2" borderId="1" xfId="1" applyNumberFormat="1"/>
    <xf numFmtId="44" fontId="1" fillId="2" borderId="1" xfId="1" applyNumberFormat="1"/>
    <xf numFmtId="0" fontId="4" fillId="2" borderId="1" xfId="1" applyFont="1"/>
    <xf numFmtId="0" fontId="0" fillId="0" borderId="2" xfId="0" applyBorder="1"/>
    <xf numFmtId="166" fontId="0" fillId="0" borderId="0" xfId="0" applyNumberFormat="1"/>
    <xf numFmtId="0" fontId="2" fillId="0" borderId="2" xfId="0" applyFont="1" applyBorder="1"/>
    <xf numFmtId="166" fontId="0" fillId="0" borderId="2" xfId="0" applyNumberFormat="1" applyBorder="1"/>
    <xf numFmtId="0" fontId="2" fillId="3" borderId="2" xfId="0" applyFont="1" applyFill="1" applyBorder="1"/>
    <xf numFmtId="14" fontId="0" fillId="0" borderId="2" xfId="0" applyNumberFormat="1" applyBorder="1"/>
    <xf numFmtId="166" fontId="0" fillId="0" borderId="2" xfId="2" applyNumberFormat="1" applyFont="1" applyBorder="1"/>
    <xf numFmtId="0" fontId="7" fillId="0" borderId="0" xfId="0" applyFont="1"/>
    <xf numFmtId="0" fontId="0" fillId="0" borderId="0" xfId="0" pivotButton="1"/>
    <xf numFmtId="0" fontId="0" fillId="0" borderId="0" xfId="0" applyNumberFormat="1"/>
    <xf numFmtId="0" fontId="8" fillId="0" borderId="0" xfId="0" applyFont="1"/>
  </cellXfs>
  <cellStyles count="3">
    <cellStyle name="Currency" xfId="2" builtinId="4"/>
    <cellStyle name="Input" xfId="1" builtinId="20"/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 &quot;€&quot;\ * #,##0_ ;_ &quot;€&quot;\ * \-#,##0_ ;_ &quot;€&quot;\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/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22/10/relationships/richValueRel" Target="richData/richValueRel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431800</xdr:colOff>
      <xdr:row>8</xdr:row>
      <xdr:rowOff>139700</xdr:rowOff>
    </xdr:from>
    <xdr:to>
      <xdr:col>7</xdr:col>
      <xdr:colOff>260350</xdr:colOff>
      <xdr:row>10</xdr:row>
      <xdr:rowOff>120650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0BD1371F-A008-4085-9659-3D031260ACA7}"/>
            </a:ext>
          </a:extLst>
        </xdr:cNvPr>
        <xdr:cNvSpPr/>
      </xdr:nvSpPr>
      <xdr:spPr>
        <a:xfrm rot="10800000">
          <a:off x="4425950" y="1739900"/>
          <a:ext cx="1308100" cy="3365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  <xdr:twoCellAnchor>
    <xdr:from>
      <xdr:col>6</xdr:col>
      <xdr:colOff>438150</xdr:colOff>
      <xdr:row>11</xdr:row>
      <xdr:rowOff>120650</xdr:rowOff>
    </xdr:from>
    <xdr:to>
      <xdr:col>10</xdr:col>
      <xdr:colOff>571500</xdr:colOff>
      <xdr:row>18</xdr:row>
      <xdr:rowOff>158750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A316A89E-68D4-4D8C-9ADA-72F00102014C}"/>
            </a:ext>
          </a:extLst>
        </xdr:cNvPr>
        <xdr:cNvSpPr/>
      </xdr:nvSpPr>
      <xdr:spPr>
        <a:xfrm>
          <a:off x="5092700" y="2254250"/>
          <a:ext cx="3841750" cy="1282700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  <xdr:twoCellAnchor>
    <xdr:from>
      <xdr:col>8</xdr:col>
      <xdr:colOff>895350</xdr:colOff>
      <xdr:row>12</xdr:row>
      <xdr:rowOff>0</xdr:rowOff>
    </xdr:from>
    <xdr:to>
      <xdr:col>12</xdr:col>
      <xdr:colOff>609600</xdr:colOff>
      <xdr:row>19</xdr:row>
      <xdr:rowOff>101600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8C11DB1-83AE-4532-8723-E3EDB14AE18C}"/>
            </a:ext>
          </a:extLst>
        </xdr:cNvPr>
        <xdr:cNvSpPr/>
      </xdr:nvSpPr>
      <xdr:spPr>
        <a:xfrm>
          <a:off x="7258050" y="2311400"/>
          <a:ext cx="3416300" cy="1346200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431800</xdr:colOff>
      <xdr:row>8</xdr:row>
      <xdr:rowOff>139700</xdr:rowOff>
    </xdr:from>
    <xdr:to>
      <xdr:col>7</xdr:col>
      <xdr:colOff>260350</xdr:colOff>
      <xdr:row>10</xdr:row>
      <xdr:rowOff>120650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BC21AF1F-B945-4B51-9CD0-8F75D37819D4}"/>
            </a:ext>
          </a:extLst>
        </xdr:cNvPr>
        <xdr:cNvSpPr/>
      </xdr:nvSpPr>
      <xdr:spPr>
        <a:xfrm rot="10800000">
          <a:off x="4286250" y="673100"/>
          <a:ext cx="1308100" cy="3365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  <xdr:twoCellAnchor>
    <xdr:from>
      <xdr:col>6</xdr:col>
      <xdr:colOff>438150</xdr:colOff>
      <xdr:row>11</xdr:row>
      <xdr:rowOff>120650</xdr:rowOff>
    </xdr:from>
    <xdr:to>
      <xdr:col>10</xdr:col>
      <xdr:colOff>571500</xdr:colOff>
      <xdr:row>18</xdr:row>
      <xdr:rowOff>158750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A9112D9B-1D04-41BE-8199-57FEE637A7BC}"/>
            </a:ext>
          </a:extLst>
        </xdr:cNvPr>
        <xdr:cNvSpPr/>
      </xdr:nvSpPr>
      <xdr:spPr>
        <a:xfrm>
          <a:off x="4953000" y="1187450"/>
          <a:ext cx="3841750" cy="1282700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  <xdr:twoCellAnchor>
    <xdr:from>
      <xdr:col>8</xdr:col>
      <xdr:colOff>895350</xdr:colOff>
      <xdr:row>12</xdr:row>
      <xdr:rowOff>0</xdr:rowOff>
    </xdr:from>
    <xdr:to>
      <xdr:col>12</xdr:col>
      <xdr:colOff>609600</xdr:colOff>
      <xdr:row>19</xdr:row>
      <xdr:rowOff>101600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80A4E6F4-875D-40A3-A957-A7058786BCC4}"/>
            </a:ext>
          </a:extLst>
        </xdr:cNvPr>
        <xdr:cNvSpPr/>
      </xdr:nvSpPr>
      <xdr:spPr>
        <a:xfrm>
          <a:off x="7118350" y="1244600"/>
          <a:ext cx="3416300" cy="1346200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628650</xdr:colOff>
      <xdr:row>5</xdr:row>
      <xdr:rowOff>6350</xdr:rowOff>
    </xdr:from>
    <xdr:to>
      <xdr:col>8</xdr:col>
      <xdr:colOff>228600</xdr:colOff>
      <xdr:row>6</xdr:row>
      <xdr:rowOff>165100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986B4DCA-9273-99FC-CB9E-2E0B22992B8D}"/>
            </a:ext>
          </a:extLst>
        </xdr:cNvPr>
        <xdr:cNvSpPr/>
      </xdr:nvSpPr>
      <xdr:spPr>
        <a:xfrm rot="10800000">
          <a:off x="5143500" y="539750"/>
          <a:ext cx="1308100" cy="3365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  <xdr:twoCellAnchor>
    <xdr:from>
      <xdr:col>6</xdr:col>
      <xdr:colOff>438150</xdr:colOff>
      <xdr:row>8</xdr:row>
      <xdr:rowOff>120650</xdr:rowOff>
    </xdr:from>
    <xdr:to>
      <xdr:col>10</xdr:col>
      <xdr:colOff>571500</xdr:colOff>
      <xdr:row>15</xdr:row>
      <xdr:rowOff>158750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29BA5F52-BB1B-9A5D-4288-1EF4DF5648BF}"/>
            </a:ext>
          </a:extLst>
        </xdr:cNvPr>
        <xdr:cNvSpPr/>
      </xdr:nvSpPr>
      <xdr:spPr>
        <a:xfrm>
          <a:off x="4953000" y="1187450"/>
          <a:ext cx="3683000" cy="1282700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  <xdr:twoCellAnchor>
    <xdr:from>
      <xdr:col>8</xdr:col>
      <xdr:colOff>895350</xdr:colOff>
      <xdr:row>9</xdr:row>
      <xdr:rowOff>0</xdr:rowOff>
    </xdr:from>
    <xdr:to>
      <xdr:col>12</xdr:col>
      <xdr:colOff>609600</xdr:colOff>
      <xdr:row>16</xdr:row>
      <xdr:rowOff>101600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7B09EB18-7FBA-4AC5-943A-64BE0C37319D}"/>
            </a:ext>
          </a:extLst>
        </xdr:cNvPr>
        <xdr:cNvSpPr/>
      </xdr:nvSpPr>
      <xdr:spPr>
        <a:xfrm>
          <a:off x="6959600" y="1244600"/>
          <a:ext cx="3416300" cy="1346200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10</xdr:row>
      <xdr:rowOff>0</xdr:rowOff>
    </xdr:from>
    <xdr:to>
      <xdr:col>19</xdr:col>
      <xdr:colOff>304800</xdr:colOff>
      <xdr:row>11</xdr:row>
      <xdr:rowOff>127000</xdr:rowOff>
    </xdr:to>
    <xdr:sp macro="" textlink="">
      <xdr:nvSpPr>
        <xdr:cNvPr id="1026" name="AutoShape 2" descr="Sfeerafbeelding Fontys">
          <a:extLst>
            <a:ext uri="{FF2B5EF4-FFF2-40B4-BE49-F238E27FC236}">
              <a16:creationId xmlns:a16="http://schemas.microsoft.com/office/drawing/2014/main" id="{0DA3E872-ACAE-C8BA-C425-775E0DC92822}"/>
            </a:ext>
          </a:extLst>
        </xdr:cNvPr>
        <xdr:cNvSpPr>
          <a:spLocks noChangeAspect="1" noChangeArrowheads="1"/>
        </xdr:cNvSpPr>
      </xdr:nvSpPr>
      <xdr:spPr bwMode="auto">
        <a:xfrm>
          <a:off x="12547600" y="231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0</xdr:colOff>
      <xdr:row>12</xdr:row>
      <xdr:rowOff>0</xdr:rowOff>
    </xdr:from>
    <xdr:to>
      <xdr:col>18</xdr:col>
      <xdr:colOff>304800</xdr:colOff>
      <xdr:row>13</xdr:row>
      <xdr:rowOff>127000</xdr:rowOff>
    </xdr:to>
    <xdr:sp macro="" textlink="">
      <xdr:nvSpPr>
        <xdr:cNvPr id="1027" name="AutoShape 3" descr="Sfeerafbeelding Fontys">
          <a:extLst>
            <a:ext uri="{FF2B5EF4-FFF2-40B4-BE49-F238E27FC236}">
              <a16:creationId xmlns:a16="http://schemas.microsoft.com/office/drawing/2014/main" id="{B6EBB219-957C-EC44-2C14-A5BF94247F8D}"/>
            </a:ext>
          </a:extLst>
        </xdr:cNvPr>
        <xdr:cNvSpPr>
          <a:spLocks noChangeAspect="1" noChangeArrowheads="1"/>
        </xdr:cNvSpPr>
      </xdr:nvSpPr>
      <xdr:spPr bwMode="auto">
        <a:xfrm>
          <a:off x="11887200" y="284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0</xdr:colOff>
      <xdr:row>8</xdr:row>
      <xdr:rowOff>0</xdr:rowOff>
    </xdr:from>
    <xdr:to>
      <xdr:col>18</xdr:col>
      <xdr:colOff>304800</xdr:colOff>
      <xdr:row>9</xdr:row>
      <xdr:rowOff>127000</xdr:rowOff>
    </xdr:to>
    <xdr:sp macro="" textlink="">
      <xdr:nvSpPr>
        <xdr:cNvPr id="1028" name="AutoShape 4" descr="Sfeerafbeelding Fontys">
          <a:extLst>
            <a:ext uri="{FF2B5EF4-FFF2-40B4-BE49-F238E27FC236}">
              <a16:creationId xmlns:a16="http://schemas.microsoft.com/office/drawing/2014/main" id="{760FD051-C268-58A2-D316-B60FD48D6000}"/>
            </a:ext>
          </a:extLst>
        </xdr:cNvPr>
        <xdr:cNvSpPr>
          <a:spLocks noChangeAspect="1" noChangeArrowheads="1"/>
        </xdr:cNvSpPr>
      </xdr:nvSpPr>
      <xdr:spPr bwMode="auto">
        <a:xfrm>
          <a:off x="11887200" y="160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552450</xdr:colOff>
      <xdr:row>2</xdr:row>
      <xdr:rowOff>60540</xdr:rowOff>
    </xdr:from>
    <xdr:to>
      <xdr:col>12</xdr:col>
      <xdr:colOff>163713</xdr:colOff>
      <xdr:row>12</xdr:row>
      <xdr:rowOff>70605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2FA891A-6B43-42B2-7155-E36C093936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12050" y="416140"/>
          <a:ext cx="4234063" cy="1788065"/>
        </a:xfrm>
        <a:prstGeom prst="rect">
          <a:avLst/>
        </a:prstGeom>
      </xdr:spPr>
    </xdr:pic>
    <xdr:clientData/>
  </xdr:twoCellAnchor>
  <xdr:twoCellAnchor editAs="oneCell">
    <xdr:from>
      <xdr:col>12</xdr:col>
      <xdr:colOff>654049</xdr:colOff>
      <xdr:row>2</xdr:row>
      <xdr:rowOff>30789</xdr:rowOff>
    </xdr:from>
    <xdr:to>
      <xdr:col>15</xdr:col>
      <xdr:colOff>508000</xdr:colOff>
      <xdr:row>12</xdr:row>
      <xdr:rowOff>86023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9656C5C-D10B-3E52-BA9D-331F38127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236449" y="386389"/>
          <a:ext cx="1835151" cy="1833234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rt Titulaer" refreshedDate="46070.707716435187" createdVersion="8" refreshedVersion="8" minRefreshableVersion="3" recordCount="20" xr:uid="{6AF8AA4F-7779-4DEC-8B02-5BE573EADC9F}">
  <cacheSource type="worksheet">
    <worksheetSource name="Table1"/>
  </cacheSource>
  <cacheFields count="6">
    <cacheField name="Customer" numFmtId="0">
      <sharedItems count="10">
        <s v="cust-04"/>
        <s v="cust-01"/>
        <s v="cust-07"/>
        <s v="cust-05"/>
        <s v="cust-06"/>
        <s v="cust-03"/>
        <s v="cust-08"/>
        <s v="cust-02"/>
        <s v="cust-10"/>
        <s v="cust-09"/>
      </sharedItems>
    </cacheField>
    <cacheField name="Order Date" numFmtId="14">
      <sharedItems containsSemiMixedTypes="0" containsNonDate="0" containsDate="1" containsString="0" minDate="2024-01-10T00:00:00" maxDate="2026-01-01T00:00:00" count="39">
        <d v="2024-03-14T00:00:00"/>
        <d v="2024-05-21T00:00:00"/>
        <d v="2024-07-23T00:00:00"/>
        <d v="2024-08-18T00:00:00"/>
        <d v="2024-10-23T00:00:00"/>
        <d v="2025-04-02T00:00:00"/>
        <d v="2025-06-01T00:00:00"/>
        <d v="2025-07-29T00:00:00"/>
        <d v="2025-10-05T00:00:00"/>
        <d v="2025-10-08T00:00:00"/>
        <d v="2025-10-09T00:00:00"/>
        <d v="2025-10-11T00:00:00"/>
        <d v="2025-10-24T00:00:00"/>
        <d v="2025-10-26T00:00:00"/>
        <d v="2025-10-31T00:00:00"/>
        <d v="2025-11-02T00:00:00"/>
        <d v="2025-11-19T00:00:00"/>
        <d v="2025-11-27T00:00:00"/>
        <d v="2025-12-31T00:00:00"/>
        <d v="2024-01-10T00:00:00" u="1"/>
        <d v="2024-01-31T00:00:00" u="1"/>
        <d v="2024-02-02T00:00:00" u="1"/>
        <d v="2024-02-11T00:00:00" u="1"/>
        <d v="2024-03-02T00:00:00" u="1"/>
        <d v="2024-05-25T00:00:00" u="1"/>
        <d v="2024-06-06T00:00:00" u="1"/>
        <d v="2024-07-29T00:00:00" u="1"/>
        <d v="2024-08-20T00:00:00" u="1"/>
        <d v="2024-10-28T00:00:00" u="1"/>
        <d v="2024-11-28T00:00:00" u="1"/>
        <d v="2024-12-07T00:00:00" u="1"/>
        <d v="2024-12-12T00:00:00" u="1"/>
        <d v="2025-01-05T00:00:00" u="1"/>
        <d v="2025-03-13T00:00:00" u="1"/>
        <d v="2025-09-23T00:00:00" u="1"/>
        <d v="2025-10-22T00:00:00" u="1"/>
        <d v="2025-11-01T00:00:00" u="1"/>
        <d v="2025-12-03T00:00:00" u="1"/>
        <d v="2025-12-25T00:00:00" u="1"/>
      </sharedItems>
      <fieldGroup par="5"/>
    </cacheField>
    <cacheField name="Value" numFmtId="166">
      <sharedItems containsSemiMixedTypes="0" containsString="0" containsNumber="1" containsInteger="1" minValue="14" maxValue="138"/>
    </cacheField>
    <cacheField name="Months (Order Date)" numFmtId="0" databaseField="0">
      <fieldGroup base="1">
        <rangePr groupBy="months" startDate="2024-03-14T00:00:00" endDate="2026-01-01T00:00:00"/>
        <groupItems count="14">
          <s v="&lt;14-3-2024"/>
          <s v="jan"/>
          <s v="feb"/>
          <s v="mrt"/>
          <s v="apr"/>
          <s v="mei"/>
          <s v="jun"/>
          <s v="jul"/>
          <s v="aug"/>
          <s v="sep"/>
          <s v="okt"/>
          <s v="nov"/>
          <s v="dec"/>
          <s v="&gt;1-1-2026"/>
        </groupItems>
      </fieldGroup>
    </cacheField>
    <cacheField name="Quarters (Order Date)" numFmtId="0" databaseField="0">
      <fieldGroup base="1">
        <rangePr groupBy="quarters" startDate="2024-03-14T00:00:00" endDate="2026-01-01T00:00:00"/>
        <groupItems count="6">
          <s v="&lt;14-3-2024"/>
          <s v="Qtr1"/>
          <s v="Qtr2"/>
          <s v="Qtr3"/>
          <s v="Qtr4"/>
          <s v="&gt;1-1-2026"/>
        </groupItems>
      </fieldGroup>
    </cacheField>
    <cacheField name="Years (Order Date)" numFmtId="0" databaseField="0">
      <fieldGroup base="1">
        <rangePr groupBy="years" startDate="2024-03-14T00:00:00" endDate="2026-01-01T00:00:00"/>
        <groupItems count="5">
          <s v="&lt;14-3-2024"/>
          <s v="2024"/>
          <s v="2025"/>
          <s v="2026"/>
          <s v="&gt;1-1-2026"/>
        </groupItems>
      </fieldGroup>
    </cacheField>
  </cacheFields>
  <extLst>
    <ext xmlns:x14="http://schemas.microsoft.com/office/spreadsheetml/2009/9/main" uri="{725AE2AE-9491-48be-B2B4-4EB974FC3084}">
      <x14:pivotCacheDefinition pivotCacheId="23410827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x v="0"/>
    <n v="14"/>
  </r>
  <r>
    <x v="1"/>
    <x v="1"/>
    <n v="20"/>
  </r>
  <r>
    <x v="2"/>
    <x v="2"/>
    <n v="34"/>
  </r>
  <r>
    <x v="3"/>
    <x v="3"/>
    <n v="74"/>
  </r>
  <r>
    <x v="4"/>
    <x v="4"/>
    <n v="43"/>
  </r>
  <r>
    <x v="5"/>
    <x v="5"/>
    <n v="20"/>
  </r>
  <r>
    <x v="6"/>
    <x v="6"/>
    <n v="94"/>
  </r>
  <r>
    <x v="6"/>
    <x v="7"/>
    <n v="138"/>
  </r>
  <r>
    <x v="3"/>
    <x v="8"/>
    <n v="88"/>
  </r>
  <r>
    <x v="5"/>
    <x v="9"/>
    <n v="130"/>
  </r>
  <r>
    <x v="5"/>
    <x v="9"/>
    <n v="82"/>
  </r>
  <r>
    <x v="0"/>
    <x v="10"/>
    <n v="86"/>
  </r>
  <r>
    <x v="0"/>
    <x v="11"/>
    <n v="138"/>
  </r>
  <r>
    <x v="7"/>
    <x v="12"/>
    <n v="47"/>
  </r>
  <r>
    <x v="1"/>
    <x v="13"/>
    <n v="81"/>
  </r>
  <r>
    <x v="3"/>
    <x v="14"/>
    <n v="138"/>
  </r>
  <r>
    <x v="8"/>
    <x v="15"/>
    <n v="118"/>
  </r>
  <r>
    <x v="9"/>
    <x v="16"/>
    <n v="98"/>
  </r>
  <r>
    <x v="9"/>
    <x v="17"/>
    <n v="71"/>
  </r>
  <r>
    <x v="7"/>
    <x v="18"/>
    <n v="8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41B8CB-769D-485D-8A5D-ED2D5084FFAF}" name="PivotTable2" cacheId="25" dataOnRows="1" applyNumberFormats="0" applyBorderFormats="0" applyFontFormats="0" applyPatternFormats="0" applyAlignmentFormats="0" applyWidthHeightFormats="1" dataCaption="Values" updatedVersion="8" minRefreshableVersion="3" showDrill="0" itemPrintTitles="1" createdVersion="8" indent="0" compact="0" compactData="0" multipleFieldFilters="0">
  <location ref="H30:K42" firstHeaderRow="1" firstDataRow="2" firstDataCol="1"/>
  <pivotFields count="6">
    <pivotField axis="axisRow" compact="0" outline="0" subtotalTop="0" showAll="0" defaultSubtotal="0">
      <items count="10">
        <item x="1"/>
        <item x="7"/>
        <item x="5"/>
        <item x="0"/>
        <item x="3"/>
        <item x="4"/>
        <item x="2"/>
        <item x="6"/>
        <item x="9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ubtotalTop="0" showAll="0" defaultSubtotal="0">
      <items count="39"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6">
        <item sd="0" x="1"/>
        <item sd="0" x="2"/>
        <item sd="0" x="3"/>
        <item sd="0" x="4"/>
        <item x="0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ubtotalTop="0" showAll="0" defaultSubtotal="0">
      <items count="5">
        <item sd="0" x="1"/>
        <item sd="0" x="2"/>
        <item x="0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Count of Value" fld="2" subtotal="count" baseField="0" baseItem="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9D4C61-1B90-42A3-ABD1-12B1678155E8}" name="PivotTable1" cacheId="25" dataOnRows="1" applyNumberFormats="0" applyBorderFormats="0" applyFontFormats="0" applyPatternFormats="0" applyAlignmentFormats="0" applyWidthHeightFormats="1" dataCaption="Values" updatedVersion="8" minRefreshableVersion="3" showDrill="0" itemPrintTitles="1" createdVersion="8" indent="0" compact="0" compactData="0" multipleFieldFilters="0">
  <location ref="H9:K21" firstHeaderRow="1" firstDataRow="2" firstDataCol="1"/>
  <pivotFields count="6">
    <pivotField axis="axisRow" compact="0" outline="0" subtotalTop="0" showAll="0" defaultSubtotal="0">
      <items count="10">
        <item x="1"/>
        <item x="7"/>
        <item x="5"/>
        <item x="0"/>
        <item x="3"/>
        <item x="4"/>
        <item x="2"/>
        <item x="6"/>
        <item x="9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ubtotalTop="0" showAll="0" defaultSubtotal="0">
      <items count="39"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6">
        <item sd="0" x="1"/>
        <item sd="0" x="2"/>
        <item sd="0" x="3"/>
        <item sd="0" x="4"/>
        <item x="0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ubtotalTop="0" showAll="0" defaultSubtotal="0">
      <items count="5">
        <item sd="0" x="1"/>
        <item sd="0" x="2"/>
        <item x="0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Sum of Valu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D47986-900E-4239-897A-789072346DBB}" name="Table1" displayName="Table1" ref="B8:D28" totalsRowShown="0">
  <autoFilter ref="B8:D28" xr:uid="{30D47986-900E-4239-897A-789072346DBB}"/>
  <tableColumns count="3">
    <tableColumn id="1" xr3:uid="{FAD32D58-C70E-40BF-AE2D-C76399E9DA8C}" name="Customer" dataDxfId="2"/>
    <tableColumn id="2" xr3:uid="{383AE743-7D00-4E0F-845B-76EF0577752F}" name="Order Date" dataDxfId="1"/>
    <tableColumn id="3" xr3:uid="{825184EC-D948-4BF3-970F-B1D622A4F3B5}" name="Value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73D9C-AE20-4CF9-A772-7A498B89A9F3}">
  <dimension ref="B3:S80"/>
  <sheetViews>
    <sheetView showGridLines="0" tabSelected="1" workbookViewId="0">
      <selection activeCell="E10" sqref="E10"/>
    </sheetView>
  </sheetViews>
  <sheetFormatPr defaultRowHeight="14" x14ac:dyDescent="0.3"/>
  <cols>
    <col min="2" max="2" width="12.33203125" customWidth="1"/>
    <col min="3" max="3" width="12.25" customWidth="1"/>
    <col min="5" max="5" width="10.5" customWidth="1"/>
    <col min="7" max="7" width="10.75" customWidth="1"/>
    <col min="8" max="8" width="11.6640625" customWidth="1"/>
    <col min="9" max="9" width="14.6640625" customWidth="1"/>
    <col min="10" max="10" width="11.58203125" customWidth="1"/>
    <col min="11" max="11" width="13.6640625" customWidth="1"/>
    <col min="13" max="13" width="12.58203125" customWidth="1"/>
  </cols>
  <sheetData>
    <row r="3" spans="2:19" ht="28" x14ac:dyDescent="0.6">
      <c r="B3" s="15" t="s">
        <v>47</v>
      </c>
      <c r="K3" s="18" t="s">
        <v>50</v>
      </c>
    </row>
    <row r="4" spans="2:19" x14ac:dyDescent="0.3">
      <c r="K4" t="s">
        <v>59</v>
      </c>
    </row>
    <row r="5" spans="2:19" x14ac:dyDescent="0.3">
      <c r="K5" s="2">
        <v>2023</v>
      </c>
      <c r="M5" t="str">
        <f>"&lt;="&amp;K5</f>
        <v>&lt;=2023</v>
      </c>
    </row>
    <row r="7" spans="2:19" x14ac:dyDescent="0.3">
      <c r="H7" s="1" t="s">
        <v>12</v>
      </c>
      <c r="I7" t="s">
        <v>16</v>
      </c>
      <c r="J7" s="1" t="s">
        <v>13</v>
      </c>
      <c r="K7" s="1" t="s">
        <v>14</v>
      </c>
    </row>
    <row r="8" spans="2:19" x14ac:dyDescent="0.3">
      <c r="B8" s="1" t="s">
        <v>9</v>
      </c>
      <c r="C8" s="1" t="s">
        <v>10</v>
      </c>
      <c r="D8" s="1" t="s">
        <v>11</v>
      </c>
      <c r="E8" s="1" t="s">
        <v>49</v>
      </c>
      <c r="H8" s="2">
        <v>60</v>
      </c>
      <c r="I8" s="7">
        <v>20</v>
      </c>
      <c r="J8" s="5">
        <v>44197</v>
      </c>
      <c r="K8" s="6">
        <v>10</v>
      </c>
      <c r="R8" s="1" t="s">
        <v>18</v>
      </c>
      <c r="S8" t="s">
        <v>31</v>
      </c>
    </row>
    <row r="9" spans="2:19" x14ac:dyDescent="0.3">
      <c r="B9" t="str" cm="1">
        <f t="array" aca="1" ref="B9:B68" ca="1">"cust-"&amp;TEXT(_xlfn.RANDARRAY(H8,,1,I8,TRUE),"00")</f>
        <v>cust-07</v>
      </c>
      <c r="C9" s="3" cm="1">
        <f t="array" aca="1" ref="C9:C68" ca="1">_xlfn._xlws.SORT(_xlfn.RANDARRAY(H8,,J8,J9,TRUE))</f>
        <v>44202</v>
      </c>
      <c r="D9" s="4" cm="1">
        <f t="array" aca="1" ref="D9:D68" ca="1">_xlfn.RANDARRAY(H8,,K8/10,K9/10,TRUE)*10</f>
        <v>140</v>
      </c>
      <c r="E9" t="str" cm="1">
        <f t="array" aca="1" ref="E9:E68" ca="1">_xlfn.XLOOKUP(_xlfn.ANCHORARRAY(B9),_xlfn.ANCHORARRAY(H24),_xlfn.ANCHORARRAY(N24))</f>
        <v>Recurring</v>
      </c>
      <c r="J9" s="5">
        <v>46022</v>
      </c>
      <c r="K9" s="6">
        <v>150</v>
      </c>
      <c r="R9" cm="1">
        <f t="array" aca="1" ref="R9:R68" ca="1">YEAR(_xlfn.ANCHORARRAY(C9))</f>
        <v>2021</v>
      </c>
      <c r="S9" s="8" t="e" vm="1">
        <v>#VALUE!</v>
      </c>
    </row>
    <row r="10" spans="2:19" x14ac:dyDescent="0.3">
      <c r="B10" t="str">
        <f ca="1"/>
        <v>cust-12</v>
      </c>
      <c r="C10" s="3">
        <f ca="1"/>
        <v>44266</v>
      </c>
      <c r="D10" s="4">
        <f ca="1"/>
        <v>40</v>
      </c>
      <c r="E10" t="str">
        <f ca="1"/>
        <v>Recurring</v>
      </c>
      <c r="J10" t="s">
        <v>28</v>
      </c>
      <c r="K10">
        <f ca="1">SUM(_xlfn.ANCHORARRAY(K24))</f>
        <v>60</v>
      </c>
      <c r="R10">
        <f ca="1"/>
        <v>2021</v>
      </c>
    </row>
    <row r="11" spans="2:19" x14ac:dyDescent="0.3">
      <c r="B11" t="str">
        <f ca="1"/>
        <v>cust-16</v>
      </c>
      <c r="C11" s="3">
        <f ca="1"/>
        <v>44283</v>
      </c>
      <c r="D11" s="4">
        <f ca="1"/>
        <v>100</v>
      </c>
      <c r="E11" t="str">
        <f ca="1"/>
        <v>Recurring</v>
      </c>
      <c r="J11" t="s">
        <v>29</v>
      </c>
      <c r="K11">
        <f ca="1">COUNTA(_xlfn.ANCHORARRAY(H24))</f>
        <v>20</v>
      </c>
      <c r="R11">
        <f ca="1"/>
        <v>2021</v>
      </c>
    </row>
    <row r="12" spans="2:19" x14ac:dyDescent="0.3">
      <c r="B12" t="str">
        <f ca="1"/>
        <v>cust-20</v>
      </c>
      <c r="C12" s="3">
        <f ca="1"/>
        <v>44318</v>
      </c>
      <c r="D12" s="4">
        <f ca="1"/>
        <v>140</v>
      </c>
      <c r="E12" t="str">
        <f ca="1"/>
        <v>Recurring</v>
      </c>
      <c r="J12" t="s">
        <v>32</v>
      </c>
      <c r="K12" s="9">
        <f ca="1">SUM(_xlfn.ANCHORARRAY(D9))</f>
        <v>4680</v>
      </c>
      <c r="R12">
        <f ca="1"/>
        <v>2021</v>
      </c>
    </row>
    <row r="13" spans="2:19" x14ac:dyDescent="0.3">
      <c r="B13" t="str">
        <f ca="1"/>
        <v>cust-19</v>
      </c>
      <c r="C13" s="3">
        <f ca="1"/>
        <v>44327</v>
      </c>
      <c r="D13" s="4">
        <f ca="1"/>
        <v>150</v>
      </c>
      <c r="E13" t="str">
        <f ca="1"/>
        <v>Lost</v>
      </c>
      <c r="R13">
        <f ca="1"/>
        <v>2021</v>
      </c>
    </row>
    <row r="14" spans="2:19" x14ac:dyDescent="0.3">
      <c r="B14" t="str">
        <f ca="1"/>
        <v>cust-06</v>
      </c>
      <c r="C14" s="3">
        <f ca="1"/>
        <v>44330</v>
      </c>
      <c r="D14" s="4">
        <f ca="1"/>
        <v>130</v>
      </c>
      <c r="E14" t="str">
        <f ca="1"/>
        <v>Recurring</v>
      </c>
      <c r="R14">
        <f ca="1"/>
        <v>2021</v>
      </c>
    </row>
    <row r="15" spans="2:19" x14ac:dyDescent="0.3">
      <c r="B15" t="str">
        <f ca="1"/>
        <v>cust-01</v>
      </c>
      <c r="C15" s="3">
        <f ca="1"/>
        <v>44361</v>
      </c>
      <c r="D15" s="4">
        <f ca="1"/>
        <v>140</v>
      </c>
      <c r="E15" t="str">
        <f ca="1"/>
        <v>Recurring</v>
      </c>
      <c r="H15" t="s">
        <v>24</v>
      </c>
      <c r="J15" t="s">
        <v>23</v>
      </c>
      <c r="L15" t="s">
        <v>21</v>
      </c>
      <c r="R15">
        <f ca="1"/>
        <v>2021</v>
      </c>
    </row>
    <row r="16" spans="2:19" x14ac:dyDescent="0.3">
      <c r="B16" t="str">
        <f ca="1"/>
        <v>cust-17</v>
      </c>
      <c r="C16" s="3">
        <f ca="1"/>
        <v>44381</v>
      </c>
      <c r="D16" s="4">
        <f ca="1"/>
        <v>130</v>
      </c>
      <c r="E16" t="str">
        <f ca="1"/>
        <v>Lost</v>
      </c>
      <c r="H16">
        <f ca="1">COUNTIF(_xlfn.ANCHORARRAY(N24),H15)</f>
        <v>5</v>
      </c>
      <c r="J16">
        <f ca="1">COUNTIF(_xlfn.ANCHORARRAY(N24),J15)</f>
        <v>14</v>
      </c>
      <c r="L16">
        <f ca="1">COUNTIF(_xlfn.ANCHORARRAY(N24),L15)</f>
        <v>1</v>
      </c>
      <c r="R16">
        <f ca="1"/>
        <v>2021</v>
      </c>
    </row>
    <row r="17" spans="2:18" x14ac:dyDescent="0.3">
      <c r="B17" t="str">
        <f ca="1"/>
        <v>cust-15</v>
      </c>
      <c r="C17" s="3">
        <f ca="1"/>
        <v>44450</v>
      </c>
      <c r="D17" s="4">
        <f ca="1"/>
        <v>90</v>
      </c>
      <c r="E17" t="str">
        <f ca="1"/>
        <v>Recurring</v>
      </c>
      <c r="R17">
        <f ca="1"/>
        <v>2021</v>
      </c>
    </row>
    <row r="18" spans="2:18" x14ac:dyDescent="0.3">
      <c r="B18" t="str">
        <f ca="1"/>
        <v>cust-13</v>
      </c>
      <c r="C18" s="3">
        <f ca="1"/>
        <v>44528</v>
      </c>
      <c r="D18" s="4">
        <f ca="1"/>
        <v>30</v>
      </c>
      <c r="E18" t="str">
        <f ca="1"/>
        <v>Recurring</v>
      </c>
      <c r="R18">
        <f ca="1"/>
        <v>2021</v>
      </c>
    </row>
    <row r="19" spans="2:18" x14ac:dyDescent="0.3">
      <c r="B19" t="str">
        <f ca="1"/>
        <v>cust-07</v>
      </c>
      <c r="C19" s="3">
        <f ca="1"/>
        <v>44535</v>
      </c>
      <c r="D19" s="4">
        <f ca="1"/>
        <v>150</v>
      </c>
      <c r="E19" t="str">
        <f ca="1"/>
        <v>Recurring</v>
      </c>
      <c r="G19" s="1" t="s">
        <v>58</v>
      </c>
      <c r="N19" s="1">
        <v>2025</v>
      </c>
      <c r="R19">
        <f ca="1"/>
        <v>2021</v>
      </c>
    </row>
    <row r="20" spans="2:18" x14ac:dyDescent="0.3">
      <c r="B20" t="str">
        <f ca="1"/>
        <v>cust-09</v>
      </c>
      <c r="C20" s="3">
        <f ca="1"/>
        <v>44555</v>
      </c>
      <c r="D20" s="4">
        <f ca="1"/>
        <v>50</v>
      </c>
      <c r="E20" t="str">
        <f ca="1"/>
        <v>Recurring</v>
      </c>
      <c r="G20" t="s">
        <v>26</v>
      </c>
      <c r="H20">
        <f ca="1">I8-N20</f>
        <v>11</v>
      </c>
      <c r="M20" t="s">
        <v>26</v>
      </c>
      <c r="N20" cm="1">
        <f t="array" aca="1" ref="N20" ca="1">COUNTA(_xlfn.UNIQUE(_xlfn._xlws.FILTER(_xlfn.ANCHORARRAY(B9),_xlfn.ANCHORARRAY(R9)=N19)))</f>
        <v>9</v>
      </c>
      <c r="R20">
        <f ca="1"/>
        <v>2021</v>
      </c>
    </row>
    <row r="21" spans="2:18" x14ac:dyDescent="0.3">
      <c r="B21" t="str">
        <f ca="1"/>
        <v>cust-11</v>
      </c>
      <c r="C21" s="3">
        <f ca="1"/>
        <v>44557</v>
      </c>
      <c r="D21" s="4">
        <f ca="1"/>
        <v>10</v>
      </c>
      <c r="E21" t="str">
        <f ca="1"/>
        <v>Lost</v>
      </c>
      <c r="G21" t="s">
        <v>27</v>
      </c>
      <c r="H21">
        <f ca="1">COUNTIF(_xlfn.ANCHORARRAY(R9),"&lt;"&amp;N19)</f>
        <v>48</v>
      </c>
      <c r="M21" t="s">
        <v>27</v>
      </c>
      <c r="N21" cm="1">
        <f t="array" aca="1" ref="N21" ca="1">SUMPRODUCT(--(YEAR(_xlfn.ANCHORARRAY(C9))=N19))</f>
        <v>12</v>
      </c>
      <c r="R21">
        <f ca="1"/>
        <v>2021</v>
      </c>
    </row>
    <row r="22" spans="2:18" x14ac:dyDescent="0.3">
      <c r="B22" t="str">
        <f ca="1"/>
        <v>cust-15</v>
      </c>
      <c r="C22" s="3">
        <f ca="1"/>
        <v>44583</v>
      </c>
      <c r="D22" s="4">
        <f ca="1"/>
        <v>140</v>
      </c>
      <c r="E22" t="str">
        <f ca="1"/>
        <v>Recurring</v>
      </c>
      <c r="R22">
        <f ca="1"/>
        <v>2022</v>
      </c>
    </row>
    <row r="23" spans="2:18" x14ac:dyDescent="0.3">
      <c r="B23" t="str">
        <f ca="1"/>
        <v>cust-15</v>
      </c>
      <c r="C23" s="3">
        <f ca="1"/>
        <v>44586</v>
      </c>
      <c r="D23" s="4">
        <f ca="1"/>
        <v>80</v>
      </c>
      <c r="E23" t="str">
        <f ca="1"/>
        <v>Recurring</v>
      </c>
      <c r="H23" s="1" t="s">
        <v>9</v>
      </c>
      <c r="I23" s="1" t="s">
        <v>15</v>
      </c>
      <c r="J23" s="1" t="s">
        <v>25</v>
      </c>
      <c r="K23" s="1" t="s">
        <v>17</v>
      </c>
      <c r="L23">
        <v>2025</v>
      </c>
      <c r="M23" t="str">
        <f>"until: "&amp;K5</f>
        <v>until: 2023</v>
      </c>
      <c r="N23" s="1" t="s">
        <v>19</v>
      </c>
      <c r="R23">
        <f ca="1"/>
        <v>2022</v>
      </c>
    </row>
    <row r="24" spans="2:18" x14ac:dyDescent="0.3">
      <c r="B24" t="str">
        <f ca="1"/>
        <v>cust-08</v>
      </c>
      <c r="C24" s="3">
        <f ca="1"/>
        <v>44693</v>
      </c>
      <c r="D24" s="4">
        <f ca="1"/>
        <v>60</v>
      </c>
      <c r="E24" t="str">
        <f ca="1"/>
        <v>Recurring</v>
      </c>
      <c r="H24" t="str" cm="1">
        <f t="array" aca="1" ref="H24:H43" ca="1">_xlfn._xlws.SORT(_xlfn.UNIQUE(_xlfn.ANCHORARRAY(B9)))</f>
        <v>cust-01</v>
      </c>
      <c r="I24" s="3" cm="1">
        <f t="array" aca="1" ref="I24:I43" ca="1">_xlfn.MAXIFS(_xlfn.ANCHORARRAY(C9),_xlfn.ANCHORARRAY(B9),_xlfn.ANCHORARRAY(H24))</f>
        <v>45981</v>
      </c>
      <c r="J24" cm="1">
        <f t="array" aca="1" ref="J24:J43" ca="1">YEAR(_xlfn.ANCHORARRAY(I24))</f>
        <v>2025</v>
      </c>
      <c r="K24" cm="1">
        <f t="array" aca="1" ref="K24:K43" ca="1">COUNTIFS(_xlfn.ANCHORARRAY(B9),_xlfn.ANCHORARRAY(H24))</f>
        <v>2</v>
      </c>
      <c r="L24" cm="1">
        <f t="array" aca="1" ref="L24:L43" ca="1">COUNTIFS(_xlfn.ANCHORARRAY(B9),_xlfn.ANCHORARRAY(H24),_xlfn.ANCHORARRAY(R9),L23)</f>
        <v>1</v>
      </c>
      <c r="M24" cm="1">
        <f t="array" aca="1" ref="M24:M43" ca="1">COUNTIFS(_xlfn.ANCHORARRAY(B9),_xlfn.ANCHORARRAY(H24),_xlfn.ANCHORARRAY(R9),M5)</f>
        <v>1</v>
      </c>
      <c r="N24" t="str" cm="1">
        <f t="array" aca="1" ref="N24:N43" ca="1">IF(_xlfn.ANCHORARRAY(L24)=_xlfn.ANCHORARRAY(K24),"New",IF(_xlfn.ANCHORARRAY(M24)=_xlfn.ANCHORARRAY(K24),"Lost","Recurring"))</f>
        <v>Recurring</v>
      </c>
      <c r="R24">
        <f ca="1"/>
        <v>2022</v>
      </c>
    </row>
    <row r="25" spans="2:18" x14ac:dyDescent="0.3">
      <c r="B25" t="str">
        <f ca="1"/>
        <v>cust-06</v>
      </c>
      <c r="C25" s="3">
        <f ca="1"/>
        <v>44727</v>
      </c>
      <c r="D25" s="4">
        <f ca="1"/>
        <v>30</v>
      </c>
      <c r="E25" t="str">
        <f ca="1"/>
        <v>Recurring</v>
      </c>
      <c r="H25" t="str">
        <f ca="1"/>
        <v>cust-02</v>
      </c>
      <c r="I25" s="3">
        <f ca="1"/>
        <v>45888</v>
      </c>
      <c r="J25">
        <f ca="1"/>
        <v>2025</v>
      </c>
      <c r="K25">
        <f ca="1"/>
        <v>4</v>
      </c>
      <c r="L25">
        <f ca="1"/>
        <v>3</v>
      </c>
      <c r="M25">
        <f ca="1"/>
        <v>1</v>
      </c>
      <c r="N25" t="str">
        <f ca="1"/>
        <v>Recurring</v>
      </c>
      <c r="R25">
        <f ca="1"/>
        <v>2022</v>
      </c>
    </row>
    <row r="26" spans="2:18" x14ac:dyDescent="0.3">
      <c r="B26" t="str">
        <f ca="1"/>
        <v>cust-14</v>
      </c>
      <c r="C26" s="3">
        <f ca="1"/>
        <v>44779</v>
      </c>
      <c r="D26" s="4">
        <f ca="1"/>
        <v>20</v>
      </c>
      <c r="E26" t="str">
        <f ca="1"/>
        <v>Lost</v>
      </c>
      <c r="H26" t="str">
        <f ca="1"/>
        <v>cust-03</v>
      </c>
      <c r="I26" s="3">
        <f ca="1"/>
        <v>45182</v>
      </c>
      <c r="J26">
        <f ca="1"/>
        <v>2023</v>
      </c>
      <c r="K26">
        <f ca="1"/>
        <v>2</v>
      </c>
      <c r="L26">
        <f ca="1"/>
        <v>0</v>
      </c>
      <c r="M26">
        <f ca="1"/>
        <v>2</v>
      </c>
      <c r="N26" t="str">
        <f ca="1"/>
        <v>Lost</v>
      </c>
      <c r="R26">
        <f ca="1"/>
        <v>2022</v>
      </c>
    </row>
    <row r="27" spans="2:18" x14ac:dyDescent="0.3">
      <c r="B27" t="str">
        <f ca="1"/>
        <v>cust-16</v>
      </c>
      <c r="C27" s="3">
        <f ca="1"/>
        <v>44883</v>
      </c>
      <c r="D27" s="4">
        <f ca="1"/>
        <v>120</v>
      </c>
      <c r="E27" t="str">
        <f ca="1"/>
        <v>Recurring</v>
      </c>
      <c r="H27" t="str">
        <f ca="1"/>
        <v>cust-04</v>
      </c>
      <c r="I27" s="3">
        <f ca="1"/>
        <v>45514</v>
      </c>
      <c r="J27">
        <f ca="1"/>
        <v>2024</v>
      </c>
      <c r="K27">
        <f ca="1"/>
        <v>5</v>
      </c>
      <c r="L27">
        <f ca="1"/>
        <v>0</v>
      </c>
      <c r="M27">
        <f ca="1"/>
        <v>2</v>
      </c>
      <c r="N27" t="str">
        <f ca="1"/>
        <v>Recurring</v>
      </c>
      <c r="R27">
        <f ca="1"/>
        <v>2022</v>
      </c>
    </row>
    <row r="28" spans="2:18" x14ac:dyDescent="0.3">
      <c r="B28" t="str">
        <f ca="1"/>
        <v>cust-05</v>
      </c>
      <c r="C28" s="3">
        <f ca="1"/>
        <v>44888</v>
      </c>
      <c r="D28" s="4">
        <f ca="1"/>
        <v>20</v>
      </c>
      <c r="E28" t="str">
        <f ca="1"/>
        <v>Recurring</v>
      </c>
      <c r="H28" t="str">
        <f ca="1"/>
        <v>cust-05</v>
      </c>
      <c r="I28" s="3">
        <f ca="1"/>
        <v>45666</v>
      </c>
      <c r="J28">
        <f ca="1"/>
        <v>2025</v>
      </c>
      <c r="K28">
        <f ca="1"/>
        <v>4</v>
      </c>
      <c r="L28">
        <f ca="1"/>
        <v>1</v>
      </c>
      <c r="M28">
        <f ca="1"/>
        <v>2</v>
      </c>
      <c r="N28" t="str">
        <f ca="1"/>
        <v>Recurring</v>
      </c>
      <c r="R28">
        <f ca="1"/>
        <v>2022</v>
      </c>
    </row>
    <row r="29" spans="2:18" x14ac:dyDescent="0.3">
      <c r="B29" t="str">
        <f ca="1"/>
        <v>cust-04</v>
      </c>
      <c r="C29" s="3">
        <f ca="1"/>
        <v>44927</v>
      </c>
      <c r="D29" s="4">
        <f ca="1"/>
        <v>60</v>
      </c>
      <c r="E29" t="str">
        <f ca="1"/>
        <v>Recurring</v>
      </c>
      <c r="H29" t="str">
        <f ca="1"/>
        <v>cust-06</v>
      </c>
      <c r="I29" s="3">
        <f ca="1"/>
        <v>45442</v>
      </c>
      <c r="J29">
        <f ca="1"/>
        <v>2024</v>
      </c>
      <c r="K29">
        <f ca="1"/>
        <v>4</v>
      </c>
      <c r="L29">
        <f ca="1"/>
        <v>0</v>
      </c>
      <c r="M29">
        <f ca="1"/>
        <v>2</v>
      </c>
      <c r="N29" t="str">
        <f ca="1"/>
        <v>Recurring</v>
      </c>
      <c r="R29">
        <f ca="1"/>
        <v>2023</v>
      </c>
    </row>
    <row r="30" spans="2:18" x14ac:dyDescent="0.3">
      <c r="B30" t="str">
        <f ca="1"/>
        <v>cust-05</v>
      </c>
      <c r="C30" s="3">
        <f ca="1"/>
        <v>44939</v>
      </c>
      <c r="D30" s="4">
        <f ca="1"/>
        <v>40</v>
      </c>
      <c r="E30" t="str">
        <f ca="1"/>
        <v>Recurring</v>
      </c>
      <c r="H30" t="str">
        <f ca="1"/>
        <v>cust-07</v>
      </c>
      <c r="I30" s="3">
        <f ca="1"/>
        <v>45547</v>
      </c>
      <c r="J30">
        <f ca="1"/>
        <v>2024</v>
      </c>
      <c r="K30">
        <f ca="1"/>
        <v>5</v>
      </c>
      <c r="L30">
        <f ca="1"/>
        <v>0</v>
      </c>
      <c r="M30">
        <f ca="1"/>
        <v>2</v>
      </c>
      <c r="N30" t="str">
        <f ca="1"/>
        <v>Recurring</v>
      </c>
      <c r="R30">
        <f ca="1"/>
        <v>2023</v>
      </c>
    </row>
    <row r="31" spans="2:18" x14ac:dyDescent="0.3">
      <c r="B31" t="str">
        <f ca="1"/>
        <v>cust-04</v>
      </c>
      <c r="C31" s="3">
        <f ca="1"/>
        <v>44977</v>
      </c>
      <c r="D31" s="4">
        <f ca="1"/>
        <v>90</v>
      </c>
      <c r="E31" t="str">
        <f ca="1"/>
        <v>Recurring</v>
      </c>
      <c r="H31" t="str">
        <f ca="1"/>
        <v>cust-08</v>
      </c>
      <c r="I31" s="3">
        <f ca="1"/>
        <v>45604</v>
      </c>
      <c r="J31">
        <f ca="1"/>
        <v>2024</v>
      </c>
      <c r="K31">
        <f ca="1"/>
        <v>4</v>
      </c>
      <c r="L31">
        <f ca="1"/>
        <v>0</v>
      </c>
      <c r="M31">
        <f ca="1"/>
        <v>3</v>
      </c>
      <c r="N31" t="str">
        <f ca="1"/>
        <v>Recurring</v>
      </c>
      <c r="R31">
        <f ca="1"/>
        <v>2023</v>
      </c>
    </row>
    <row r="32" spans="2:18" x14ac:dyDescent="0.3">
      <c r="B32" t="str">
        <f ca="1"/>
        <v>cust-16</v>
      </c>
      <c r="C32" s="3">
        <f ca="1"/>
        <v>44996</v>
      </c>
      <c r="D32" s="4">
        <f ca="1"/>
        <v>20</v>
      </c>
      <c r="E32" t="str">
        <f ca="1"/>
        <v>Recurring</v>
      </c>
      <c r="H32" t="str">
        <f ca="1"/>
        <v>cust-09</v>
      </c>
      <c r="I32" s="3">
        <f ca="1"/>
        <v>46002</v>
      </c>
      <c r="J32">
        <f ca="1"/>
        <v>2025</v>
      </c>
      <c r="K32">
        <f ca="1"/>
        <v>4</v>
      </c>
      <c r="L32">
        <f ca="1"/>
        <v>1</v>
      </c>
      <c r="M32">
        <f ca="1"/>
        <v>2</v>
      </c>
      <c r="N32" t="str">
        <f ca="1"/>
        <v>Recurring</v>
      </c>
      <c r="R32">
        <f ca="1"/>
        <v>2023</v>
      </c>
    </row>
    <row r="33" spans="2:18" x14ac:dyDescent="0.3">
      <c r="B33" t="str">
        <f ca="1"/>
        <v>cust-08</v>
      </c>
      <c r="C33" s="3">
        <f ca="1"/>
        <v>45030</v>
      </c>
      <c r="D33" s="4">
        <f ca="1"/>
        <v>50</v>
      </c>
      <c r="E33" t="str">
        <f ca="1"/>
        <v>Recurring</v>
      </c>
      <c r="H33" t="str">
        <f ca="1"/>
        <v>cust-10</v>
      </c>
      <c r="I33" s="3">
        <f ca="1"/>
        <v>45998</v>
      </c>
      <c r="J33">
        <f ca="1"/>
        <v>2025</v>
      </c>
      <c r="K33">
        <f ca="1"/>
        <v>2</v>
      </c>
      <c r="L33">
        <f ca="1"/>
        <v>2</v>
      </c>
      <c r="M33">
        <f ca="1"/>
        <v>0</v>
      </c>
      <c r="N33" t="str">
        <f ca="1"/>
        <v>New</v>
      </c>
      <c r="R33">
        <f ca="1"/>
        <v>2023</v>
      </c>
    </row>
    <row r="34" spans="2:18" x14ac:dyDescent="0.3">
      <c r="B34" t="str">
        <f ca="1"/>
        <v>cust-03</v>
      </c>
      <c r="C34" s="3">
        <f ca="1"/>
        <v>45101</v>
      </c>
      <c r="D34" s="4">
        <f ca="1"/>
        <v>130</v>
      </c>
      <c r="E34" t="str">
        <f ca="1"/>
        <v>Lost</v>
      </c>
      <c r="H34" t="str">
        <f ca="1"/>
        <v>cust-11</v>
      </c>
      <c r="I34" s="3">
        <f ca="1"/>
        <v>44557</v>
      </c>
      <c r="J34">
        <f ca="1"/>
        <v>2021</v>
      </c>
      <c r="K34">
        <f ca="1"/>
        <v>1</v>
      </c>
      <c r="L34">
        <f ca="1"/>
        <v>0</v>
      </c>
      <c r="M34">
        <f ca="1"/>
        <v>1</v>
      </c>
      <c r="N34" t="str">
        <f ca="1"/>
        <v>Lost</v>
      </c>
      <c r="R34">
        <f ca="1"/>
        <v>2023</v>
      </c>
    </row>
    <row r="35" spans="2:18" x14ac:dyDescent="0.3">
      <c r="B35" t="str">
        <f ca="1"/>
        <v>cust-08</v>
      </c>
      <c r="C35" s="3">
        <f ca="1"/>
        <v>45119</v>
      </c>
      <c r="D35" s="4">
        <f ca="1"/>
        <v>80</v>
      </c>
      <c r="E35" t="str">
        <f ca="1"/>
        <v>Recurring</v>
      </c>
      <c r="H35" t="str">
        <f ca="1"/>
        <v>cust-12</v>
      </c>
      <c r="I35" s="3">
        <f ca="1"/>
        <v>45988</v>
      </c>
      <c r="J35">
        <f ca="1"/>
        <v>2025</v>
      </c>
      <c r="K35">
        <f ca="1"/>
        <v>2</v>
      </c>
      <c r="L35">
        <f ca="1"/>
        <v>1</v>
      </c>
      <c r="M35">
        <f ca="1"/>
        <v>1</v>
      </c>
      <c r="N35" t="str">
        <f ca="1"/>
        <v>Recurring</v>
      </c>
      <c r="R35">
        <f ca="1"/>
        <v>2023</v>
      </c>
    </row>
    <row r="36" spans="2:18" x14ac:dyDescent="0.3">
      <c r="B36" t="str">
        <f ca="1"/>
        <v>cust-17</v>
      </c>
      <c r="C36" s="3">
        <f ca="1"/>
        <v>45168</v>
      </c>
      <c r="D36" s="4">
        <f ca="1"/>
        <v>30</v>
      </c>
      <c r="E36" t="str">
        <f ca="1"/>
        <v>Lost</v>
      </c>
      <c r="H36" t="str">
        <f ca="1"/>
        <v>cust-13</v>
      </c>
      <c r="I36" s="3">
        <f ca="1"/>
        <v>45677</v>
      </c>
      <c r="J36">
        <f ca="1"/>
        <v>2025</v>
      </c>
      <c r="K36">
        <f ca="1"/>
        <v>3</v>
      </c>
      <c r="L36">
        <f ca="1"/>
        <v>1</v>
      </c>
      <c r="M36">
        <f ca="1"/>
        <v>1</v>
      </c>
      <c r="N36" t="str">
        <f ca="1"/>
        <v>Recurring</v>
      </c>
      <c r="R36">
        <f ca="1"/>
        <v>2023</v>
      </c>
    </row>
    <row r="37" spans="2:18" x14ac:dyDescent="0.3">
      <c r="B37" t="str">
        <f ca="1"/>
        <v>cust-03</v>
      </c>
      <c r="C37" s="3">
        <f ca="1"/>
        <v>45182</v>
      </c>
      <c r="D37" s="4">
        <f ca="1"/>
        <v>120</v>
      </c>
      <c r="E37" t="str">
        <f ca="1"/>
        <v>Lost</v>
      </c>
      <c r="H37" t="str">
        <f ca="1"/>
        <v>cust-14</v>
      </c>
      <c r="I37" s="3">
        <f ca="1"/>
        <v>44779</v>
      </c>
      <c r="J37">
        <f ca="1"/>
        <v>2022</v>
      </c>
      <c r="K37">
        <f ca="1"/>
        <v>1</v>
      </c>
      <c r="L37">
        <f ca="1"/>
        <v>0</v>
      </c>
      <c r="M37">
        <f ca="1"/>
        <v>1</v>
      </c>
      <c r="N37" t="str">
        <f ca="1"/>
        <v>Lost</v>
      </c>
      <c r="P37" s="9"/>
      <c r="Q37" s="9"/>
      <c r="R37">
        <f ca="1"/>
        <v>2023</v>
      </c>
    </row>
    <row r="38" spans="2:18" x14ac:dyDescent="0.3">
      <c r="B38" t="str">
        <f ca="1"/>
        <v>cust-09</v>
      </c>
      <c r="C38" s="3">
        <f ca="1"/>
        <v>45219</v>
      </c>
      <c r="D38" s="4">
        <f ca="1"/>
        <v>20</v>
      </c>
      <c r="E38" t="str">
        <f ca="1"/>
        <v>Recurring</v>
      </c>
      <c r="H38" t="str">
        <f ca="1"/>
        <v>cust-15</v>
      </c>
      <c r="I38" s="3">
        <f ca="1"/>
        <v>45484</v>
      </c>
      <c r="J38">
        <f ca="1"/>
        <v>2024</v>
      </c>
      <c r="K38">
        <f ca="1"/>
        <v>4</v>
      </c>
      <c r="L38">
        <f ca="1"/>
        <v>0</v>
      </c>
      <c r="M38">
        <f ca="1"/>
        <v>3</v>
      </c>
      <c r="N38" t="str">
        <f ca="1"/>
        <v>Recurring</v>
      </c>
      <c r="P38" s="9"/>
      <c r="Q38" s="9"/>
      <c r="R38">
        <f ca="1"/>
        <v>2023</v>
      </c>
    </row>
    <row r="39" spans="2:18" x14ac:dyDescent="0.3">
      <c r="B39" t="str">
        <f ca="1"/>
        <v>cust-02</v>
      </c>
      <c r="C39" s="3">
        <f ca="1"/>
        <v>45235</v>
      </c>
      <c r="D39" s="4">
        <f ca="1"/>
        <v>70</v>
      </c>
      <c r="E39" t="str">
        <f ca="1"/>
        <v>Recurring</v>
      </c>
      <c r="H39" t="str">
        <f ca="1"/>
        <v>cust-16</v>
      </c>
      <c r="I39" s="3">
        <f ca="1"/>
        <v>45712</v>
      </c>
      <c r="J39">
        <f ca="1"/>
        <v>2025</v>
      </c>
      <c r="K39">
        <f ca="1"/>
        <v>5</v>
      </c>
      <c r="L39">
        <f ca="1"/>
        <v>1</v>
      </c>
      <c r="M39">
        <f ca="1"/>
        <v>3</v>
      </c>
      <c r="N39" t="str">
        <f ca="1"/>
        <v>Recurring</v>
      </c>
      <c r="P39" s="9"/>
      <c r="Q39" s="9"/>
      <c r="R39">
        <f ca="1"/>
        <v>2023</v>
      </c>
    </row>
    <row r="40" spans="2:18" x14ac:dyDescent="0.3">
      <c r="B40" t="str">
        <f ca="1"/>
        <v>cust-05</v>
      </c>
      <c r="C40" s="3">
        <f ca="1"/>
        <v>45317</v>
      </c>
      <c r="D40" s="4">
        <f ca="1"/>
        <v>100</v>
      </c>
      <c r="E40" t="str">
        <f ca="1"/>
        <v>Recurring</v>
      </c>
      <c r="H40" t="str">
        <f ca="1"/>
        <v>cust-17</v>
      </c>
      <c r="I40" s="3">
        <f ca="1"/>
        <v>45168</v>
      </c>
      <c r="J40">
        <f ca="1"/>
        <v>2023</v>
      </c>
      <c r="K40">
        <f ca="1"/>
        <v>2</v>
      </c>
      <c r="L40">
        <f ca="1"/>
        <v>0</v>
      </c>
      <c r="M40">
        <f ca="1"/>
        <v>2</v>
      </c>
      <c r="N40" t="str">
        <f ca="1"/>
        <v>Lost</v>
      </c>
      <c r="P40" s="9"/>
      <c r="Q40" s="9"/>
      <c r="R40">
        <f ca="1"/>
        <v>2024</v>
      </c>
    </row>
    <row r="41" spans="2:18" x14ac:dyDescent="0.3">
      <c r="B41" t="str">
        <f ca="1"/>
        <v>cust-04</v>
      </c>
      <c r="C41" s="3">
        <f ca="1"/>
        <v>45319</v>
      </c>
      <c r="D41" s="4">
        <f ca="1"/>
        <v>150</v>
      </c>
      <c r="E41" t="str">
        <f ca="1"/>
        <v>Recurring</v>
      </c>
      <c r="H41" t="str">
        <f ca="1"/>
        <v>cust-18</v>
      </c>
      <c r="I41" s="3">
        <f ca="1"/>
        <v>45516</v>
      </c>
      <c r="J41">
        <f ca="1"/>
        <v>2024</v>
      </c>
      <c r="K41">
        <f ca="1"/>
        <v>1</v>
      </c>
      <c r="L41">
        <f ca="1"/>
        <v>0</v>
      </c>
      <c r="M41">
        <f ca="1"/>
        <v>0</v>
      </c>
      <c r="N41" t="str">
        <f ca="1"/>
        <v>Recurring</v>
      </c>
      <c r="P41" s="9"/>
      <c r="Q41" s="9"/>
      <c r="R41">
        <f ca="1"/>
        <v>2024</v>
      </c>
    </row>
    <row r="42" spans="2:18" x14ac:dyDescent="0.3">
      <c r="B42" t="str">
        <f ca="1"/>
        <v>cust-06</v>
      </c>
      <c r="C42" s="3">
        <f ca="1"/>
        <v>45342</v>
      </c>
      <c r="D42" s="4">
        <f ca="1"/>
        <v>40</v>
      </c>
      <c r="E42" t="str">
        <f ca="1"/>
        <v>Recurring</v>
      </c>
      <c r="H42" t="str">
        <f ca="1"/>
        <v>cust-19</v>
      </c>
      <c r="I42" s="3">
        <f ca="1"/>
        <v>44327</v>
      </c>
      <c r="J42">
        <f ca="1"/>
        <v>2021</v>
      </c>
      <c r="K42">
        <f ca="1"/>
        <v>1</v>
      </c>
      <c r="L42">
        <f ca="1"/>
        <v>0</v>
      </c>
      <c r="M42">
        <f ca="1"/>
        <v>1</v>
      </c>
      <c r="N42" t="str">
        <f ca="1"/>
        <v>Lost</v>
      </c>
      <c r="P42" s="9"/>
      <c r="Q42" s="9"/>
      <c r="R42">
        <f ca="1"/>
        <v>2024</v>
      </c>
    </row>
    <row r="43" spans="2:18" x14ac:dyDescent="0.3">
      <c r="B43" t="str">
        <f ca="1"/>
        <v>cust-07</v>
      </c>
      <c r="C43" s="3">
        <f ca="1"/>
        <v>45358</v>
      </c>
      <c r="D43" s="4">
        <f ca="1"/>
        <v>150</v>
      </c>
      <c r="E43" t="str">
        <f ca="1"/>
        <v>Recurring</v>
      </c>
      <c r="H43" t="str">
        <f ca="1"/>
        <v>cust-20</v>
      </c>
      <c r="I43" s="3">
        <f ca="1"/>
        <v>45958</v>
      </c>
      <c r="J43">
        <f ca="1"/>
        <v>2025</v>
      </c>
      <c r="K43">
        <f ca="1"/>
        <v>4</v>
      </c>
      <c r="L43">
        <f ca="1"/>
        <v>1</v>
      </c>
      <c r="M43">
        <f ca="1"/>
        <v>1</v>
      </c>
      <c r="N43" t="str">
        <f ca="1"/>
        <v>Recurring</v>
      </c>
      <c r="R43">
        <f ca="1"/>
        <v>2024</v>
      </c>
    </row>
    <row r="44" spans="2:18" x14ac:dyDescent="0.3">
      <c r="B44" t="str">
        <f ca="1"/>
        <v>cust-20</v>
      </c>
      <c r="C44" s="3">
        <f ca="1"/>
        <v>45387</v>
      </c>
      <c r="D44" s="4">
        <f ca="1"/>
        <v>10</v>
      </c>
      <c r="E44" t="str">
        <f ca="1"/>
        <v>Recurring</v>
      </c>
      <c r="I44" s="3"/>
      <c r="R44">
        <f ca="1"/>
        <v>2024</v>
      </c>
    </row>
    <row r="45" spans="2:18" x14ac:dyDescent="0.3">
      <c r="B45" t="str">
        <f ca="1"/>
        <v>cust-04</v>
      </c>
      <c r="C45" s="3">
        <f ca="1"/>
        <v>45426</v>
      </c>
      <c r="D45" s="4">
        <f ca="1"/>
        <v>20</v>
      </c>
      <c r="E45" t="str">
        <f ca="1"/>
        <v>Recurring</v>
      </c>
      <c r="I45" s="3"/>
      <c r="R45">
        <f ca="1"/>
        <v>2024</v>
      </c>
    </row>
    <row r="46" spans="2:18" x14ac:dyDescent="0.3">
      <c r="B46" t="str">
        <f ca="1"/>
        <v>cust-06</v>
      </c>
      <c r="C46" s="3">
        <f ca="1"/>
        <v>45442</v>
      </c>
      <c r="D46" s="4">
        <f ca="1"/>
        <v>80</v>
      </c>
      <c r="E46" t="str">
        <f ca="1"/>
        <v>Recurring</v>
      </c>
      <c r="I46" s="3"/>
      <c r="R46">
        <f ca="1"/>
        <v>2024</v>
      </c>
    </row>
    <row r="47" spans="2:18" x14ac:dyDescent="0.3">
      <c r="B47" t="str">
        <f ca="1"/>
        <v>cust-07</v>
      </c>
      <c r="C47" s="3">
        <f ca="1"/>
        <v>45455</v>
      </c>
      <c r="D47">
        <f ca="1"/>
        <v>40</v>
      </c>
      <c r="E47" t="str">
        <f ca="1"/>
        <v>Recurring</v>
      </c>
      <c r="I47" s="3"/>
      <c r="R47">
        <f ca="1"/>
        <v>2024</v>
      </c>
    </row>
    <row r="48" spans="2:18" x14ac:dyDescent="0.3">
      <c r="B48" t="str">
        <f ca="1"/>
        <v>cust-15</v>
      </c>
      <c r="C48" s="3">
        <f ca="1"/>
        <v>45484</v>
      </c>
      <c r="D48">
        <f ca="1"/>
        <v>90</v>
      </c>
      <c r="E48" t="str">
        <f ca="1"/>
        <v>Recurring</v>
      </c>
      <c r="I48" s="3"/>
      <c r="R48">
        <f ca="1"/>
        <v>2024</v>
      </c>
    </row>
    <row r="49" spans="2:18" x14ac:dyDescent="0.3">
      <c r="B49" t="str">
        <f ca="1"/>
        <v>cust-13</v>
      </c>
      <c r="C49" s="3">
        <f ca="1"/>
        <v>45510</v>
      </c>
      <c r="D49">
        <f ca="1"/>
        <v>40</v>
      </c>
      <c r="E49" t="str">
        <f ca="1"/>
        <v>Recurring</v>
      </c>
      <c r="I49" s="3"/>
      <c r="R49">
        <f ca="1"/>
        <v>2024</v>
      </c>
    </row>
    <row r="50" spans="2:18" x14ac:dyDescent="0.3">
      <c r="B50" t="str">
        <f ca="1"/>
        <v>cust-04</v>
      </c>
      <c r="C50" s="3">
        <f ca="1"/>
        <v>45514</v>
      </c>
      <c r="D50">
        <f ca="1"/>
        <v>10</v>
      </c>
      <c r="E50" t="str">
        <f ca="1"/>
        <v>Recurring</v>
      </c>
      <c r="I50" s="3"/>
      <c r="R50">
        <f ca="1"/>
        <v>2024</v>
      </c>
    </row>
    <row r="51" spans="2:18" x14ac:dyDescent="0.3">
      <c r="B51" t="str">
        <f ca="1"/>
        <v>cust-18</v>
      </c>
      <c r="C51" s="3">
        <f ca="1"/>
        <v>45516</v>
      </c>
      <c r="D51">
        <f ca="1"/>
        <v>40</v>
      </c>
      <c r="E51" t="str">
        <f ca="1"/>
        <v>Recurring</v>
      </c>
      <c r="I51" s="3"/>
      <c r="R51">
        <f ca="1"/>
        <v>2024</v>
      </c>
    </row>
    <row r="52" spans="2:18" x14ac:dyDescent="0.3">
      <c r="B52" t="str">
        <f ca="1"/>
        <v>cust-16</v>
      </c>
      <c r="C52" s="3">
        <f ca="1"/>
        <v>45545</v>
      </c>
      <c r="D52">
        <f ca="1"/>
        <v>120</v>
      </c>
      <c r="E52" t="str">
        <f ca="1"/>
        <v>Recurring</v>
      </c>
      <c r="I52" s="3"/>
      <c r="R52">
        <f ca="1"/>
        <v>2024</v>
      </c>
    </row>
    <row r="53" spans="2:18" x14ac:dyDescent="0.3">
      <c r="B53" t="str">
        <f ca="1"/>
        <v>cust-07</v>
      </c>
      <c r="C53" s="3">
        <f ca="1"/>
        <v>45547</v>
      </c>
      <c r="D53">
        <f ca="1"/>
        <v>120</v>
      </c>
      <c r="E53" t="str">
        <f ca="1"/>
        <v>Recurring</v>
      </c>
      <c r="I53" s="3"/>
      <c r="R53">
        <f ca="1"/>
        <v>2024</v>
      </c>
    </row>
    <row r="54" spans="2:18" x14ac:dyDescent="0.3">
      <c r="B54" t="str">
        <f ca="1"/>
        <v>cust-20</v>
      </c>
      <c r="C54" s="3">
        <f ca="1"/>
        <v>45557</v>
      </c>
      <c r="D54">
        <f ca="1"/>
        <v>40</v>
      </c>
      <c r="E54" t="str">
        <f ca="1"/>
        <v>Recurring</v>
      </c>
      <c r="I54" s="3"/>
      <c r="R54">
        <f ca="1"/>
        <v>2024</v>
      </c>
    </row>
    <row r="55" spans="2:18" x14ac:dyDescent="0.3">
      <c r="B55" t="str">
        <f ca="1"/>
        <v>cust-08</v>
      </c>
      <c r="C55" s="3">
        <f ca="1"/>
        <v>45604</v>
      </c>
      <c r="D55">
        <f ca="1"/>
        <v>100</v>
      </c>
      <c r="E55" t="str">
        <f ca="1"/>
        <v>Recurring</v>
      </c>
      <c r="I55" s="3"/>
      <c r="R55">
        <f ca="1"/>
        <v>2024</v>
      </c>
    </row>
    <row r="56" spans="2:18" x14ac:dyDescent="0.3">
      <c r="B56" t="str">
        <f ca="1"/>
        <v>cust-09</v>
      </c>
      <c r="C56" s="3">
        <f ca="1"/>
        <v>45612</v>
      </c>
      <c r="D56">
        <f ca="1"/>
        <v>80</v>
      </c>
      <c r="E56" t="str">
        <f ca="1"/>
        <v>Recurring</v>
      </c>
      <c r="I56" s="3"/>
      <c r="R56">
        <f ca="1"/>
        <v>2024</v>
      </c>
    </row>
    <row r="57" spans="2:18" x14ac:dyDescent="0.3">
      <c r="B57" t="str">
        <f ca="1"/>
        <v>cust-02</v>
      </c>
      <c r="C57" s="3">
        <f ca="1"/>
        <v>45658</v>
      </c>
      <c r="D57">
        <f ca="1"/>
        <v>20</v>
      </c>
      <c r="E57" t="str">
        <f ca="1"/>
        <v>Recurring</v>
      </c>
      <c r="R57">
        <f ca="1"/>
        <v>2025</v>
      </c>
    </row>
    <row r="58" spans="2:18" x14ac:dyDescent="0.3">
      <c r="B58" t="str">
        <f ca="1"/>
        <v>cust-05</v>
      </c>
      <c r="C58" s="3">
        <f ca="1"/>
        <v>45666</v>
      </c>
      <c r="D58">
        <f ca="1"/>
        <v>80</v>
      </c>
      <c r="E58" t="str">
        <f ca="1"/>
        <v>Recurring</v>
      </c>
      <c r="R58">
        <f ca="1"/>
        <v>2025</v>
      </c>
    </row>
    <row r="59" spans="2:18" x14ac:dyDescent="0.3">
      <c r="B59" t="str">
        <f ca="1"/>
        <v>cust-13</v>
      </c>
      <c r="C59" s="3">
        <f ca="1"/>
        <v>45677</v>
      </c>
      <c r="D59">
        <f ca="1"/>
        <v>100</v>
      </c>
      <c r="E59" t="str">
        <f ca="1"/>
        <v>Recurring</v>
      </c>
      <c r="R59">
        <f ca="1"/>
        <v>2025</v>
      </c>
    </row>
    <row r="60" spans="2:18" x14ac:dyDescent="0.3">
      <c r="B60" t="str">
        <f ca="1"/>
        <v>cust-16</v>
      </c>
      <c r="C60" s="3">
        <f ca="1"/>
        <v>45712</v>
      </c>
      <c r="D60">
        <f ca="1"/>
        <v>20</v>
      </c>
      <c r="E60" t="str">
        <f ca="1"/>
        <v>Recurring</v>
      </c>
      <c r="R60">
        <f ca="1"/>
        <v>2025</v>
      </c>
    </row>
    <row r="61" spans="2:18" x14ac:dyDescent="0.3">
      <c r="B61" t="str">
        <f ca="1"/>
        <v>cust-10</v>
      </c>
      <c r="C61" s="3">
        <f ca="1"/>
        <v>45840</v>
      </c>
      <c r="D61">
        <f ca="1"/>
        <v>50</v>
      </c>
      <c r="E61" t="str">
        <f ca="1"/>
        <v>New</v>
      </c>
      <c r="R61">
        <f ca="1"/>
        <v>2025</v>
      </c>
    </row>
    <row r="62" spans="2:18" x14ac:dyDescent="0.3">
      <c r="B62" t="str">
        <f ca="1"/>
        <v>cust-02</v>
      </c>
      <c r="C62" s="3">
        <f ca="1"/>
        <v>45845</v>
      </c>
      <c r="D62">
        <f ca="1"/>
        <v>10</v>
      </c>
      <c r="E62" t="str">
        <f ca="1"/>
        <v>Recurring</v>
      </c>
      <c r="R62">
        <f ca="1"/>
        <v>2025</v>
      </c>
    </row>
    <row r="63" spans="2:18" x14ac:dyDescent="0.3">
      <c r="B63" t="str">
        <f ca="1"/>
        <v>cust-02</v>
      </c>
      <c r="C63" s="3">
        <f ca="1"/>
        <v>45888</v>
      </c>
      <c r="D63">
        <f ca="1"/>
        <v>120</v>
      </c>
      <c r="E63" t="str">
        <f ca="1"/>
        <v>Recurring</v>
      </c>
      <c r="R63">
        <f ca="1"/>
        <v>2025</v>
      </c>
    </row>
    <row r="64" spans="2:18" x14ac:dyDescent="0.3">
      <c r="B64" t="str">
        <f ca="1"/>
        <v>cust-20</v>
      </c>
      <c r="C64" s="3">
        <f ca="1"/>
        <v>45958</v>
      </c>
      <c r="D64">
        <f ca="1"/>
        <v>150</v>
      </c>
      <c r="E64" t="str">
        <f ca="1"/>
        <v>Recurring</v>
      </c>
      <c r="R64">
        <f ca="1"/>
        <v>2025</v>
      </c>
    </row>
    <row r="65" spans="2:18" x14ac:dyDescent="0.3">
      <c r="B65" t="str">
        <f ca="1"/>
        <v>cust-01</v>
      </c>
      <c r="C65" s="3">
        <f ca="1"/>
        <v>45981</v>
      </c>
      <c r="D65">
        <f ca="1"/>
        <v>100</v>
      </c>
      <c r="E65" t="str">
        <f ca="1"/>
        <v>Recurring</v>
      </c>
      <c r="R65">
        <f ca="1"/>
        <v>2025</v>
      </c>
    </row>
    <row r="66" spans="2:18" x14ac:dyDescent="0.3">
      <c r="B66" t="str">
        <f ca="1"/>
        <v>cust-12</v>
      </c>
      <c r="C66" s="3">
        <f ca="1"/>
        <v>45988</v>
      </c>
      <c r="D66">
        <f ca="1"/>
        <v>60</v>
      </c>
      <c r="E66" t="str">
        <f ca="1"/>
        <v>Recurring</v>
      </c>
      <c r="R66">
        <f ca="1"/>
        <v>2025</v>
      </c>
    </row>
    <row r="67" spans="2:18" x14ac:dyDescent="0.3">
      <c r="B67" t="str">
        <f ca="1"/>
        <v>cust-10</v>
      </c>
      <c r="C67" s="3">
        <f ca="1"/>
        <v>45998</v>
      </c>
      <c r="D67">
        <f ca="1"/>
        <v>150</v>
      </c>
      <c r="E67" t="str">
        <f ca="1"/>
        <v>New</v>
      </c>
      <c r="R67">
        <f ca="1"/>
        <v>2025</v>
      </c>
    </row>
    <row r="68" spans="2:18" x14ac:dyDescent="0.3">
      <c r="B68" t="str">
        <f ca="1"/>
        <v>cust-09</v>
      </c>
      <c r="C68" s="3">
        <f ca="1"/>
        <v>46002</v>
      </c>
      <c r="D68">
        <f ca="1"/>
        <v>110</v>
      </c>
      <c r="E68" t="str">
        <f ca="1"/>
        <v>Recurring</v>
      </c>
      <c r="R68">
        <f ca="1"/>
        <v>2025</v>
      </c>
    </row>
    <row r="73" spans="2:18" x14ac:dyDescent="0.3">
      <c r="C73" t="str" cm="1">
        <f t="array" aca="1" ref="C73:C76" ca="1">All_Formulas(B8:E12)</f>
        <v>B9 : ="cust-"&amp;TEXT(RANDARRAY(H8;;1;I8;TRUE);"00")</v>
      </c>
      <c r="I73" t="str" cm="1">
        <f t="array" aca="1" ref="I73:I80" ca="1">All_Formulas(H23:N26)</f>
        <v>M23 : ="until: "&amp;K5</v>
      </c>
    </row>
    <row r="74" spans="2:18" x14ac:dyDescent="0.3">
      <c r="C74" t="str">
        <f ca="1"/>
        <v>C9 : =SORT(RANDARRAY(H8;;J8;J9;TRUE))</v>
      </c>
      <c r="I74" t="str">
        <f ca="1"/>
        <v>H24 : =SORT(UNIQUE(B9#))</v>
      </c>
    </row>
    <row r="75" spans="2:18" x14ac:dyDescent="0.3">
      <c r="C75" t="str">
        <f ca="1"/>
        <v>D9 : =RANDARRAY(H8;;K8/10;K9/10;TRUE)*10</v>
      </c>
      <c r="I75" t="str">
        <f ca="1"/>
        <v>I24 : =MAXIFS(C9#;B9#;H24#)</v>
      </c>
    </row>
    <row r="76" spans="2:18" x14ac:dyDescent="0.3">
      <c r="C76" t="str">
        <f ca="1"/>
        <v>E9 : =XLOOKUP(B9#;H24#;N24#)</v>
      </c>
      <c r="I76" t="str">
        <f ca="1"/>
        <v>J24 : =YEAR(I24#)</v>
      </c>
    </row>
    <row r="77" spans="2:18" x14ac:dyDescent="0.3">
      <c r="I77" t="str">
        <f ca="1"/>
        <v>K24 : =COUNTIFS(B9#;H24#)</v>
      </c>
    </row>
    <row r="78" spans="2:18" x14ac:dyDescent="0.3">
      <c r="I78" t="str">
        <f ca="1"/>
        <v>L24 : =COUNTIFS(B9#;H24#;R9#;L23)</v>
      </c>
    </row>
    <row r="79" spans="2:18" x14ac:dyDescent="0.3">
      <c r="I79" t="str">
        <f ca="1"/>
        <v>M24 : =COUNTIFS(B9#;H24#;R9#;M5)</v>
      </c>
    </row>
    <row r="80" spans="2:18" x14ac:dyDescent="0.3">
      <c r="I80" t="str">
        <f ca="1"/>
        <v>N24 : =IF(L24#=K24#;"New";IF(M24#=K24#;"Lost";"Recurring"))</v>
      </c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DE96F-1055-48F2-A168-8E8250D8EAC8}">
  <dimension ref="B3:S64"/>
  <sheetViews>
    <sheetView showGridLines="0" workbookViewId="0">
      <selection activeCell="K46" sqref="K46"/>
    </sheetView>
  </sheetViews>
  <sheetFormatPr defaultRowHeight="14" x14ac:dyDescent="0.3"/>
  <cols>
    <col min="2" max="2" width="12.33203125" customWidth="1"/>
    <col min="3" max="3" width="12.25" customWidth="1"/>
    <col min="5" max="5" width="10.5" customWidth="1"/>
    <col min="7" max="7" width="10.75" customWidth="1"/>
    <col min="8" max="8" width="11.6640625" customWidth="1"/>
    <col min="9" max="9" width="14.6640625" customWidth="1"/>
    <col min="10" max="10" width="11.58203125" customWidth="1"/>
    <col min="11" max="11" width="13.6640625" customWidth="1"/>
    <col min="13" max="13" width="12.58203125" customWidth="1"/>
  </cols>
  <sheetData>
    <row r="3" spans="2:19" ht="28" x14ac:dyDescent="0.6">
      <c r="B3" s="15" t="s">
        <v>47</v>
      </c>
      <c r="K3" t="s">
        <v>50</v>
      </c>
    </row>
    <row r="7" spans="2:19" x14ac:dyDescent="0.3">
      <c r="H7" s="1" t="s">
        <v>12</v>
      </c>
      <c r="I7" t="s">
        <v>16</v>
      </c>
      <c r="J7" s="1" t="s">
        <v>13</v>
      </c>
      <c r="K7" s="1" t="s">
        <v>14</v>
      </c>
    </row>
    <row r="8" spans="2:19" x14ac:dyDescent="0.3">
      <c r="B8" s="1" t="s">
        <v>9</v>
      </c>
      <c r="C8" s="1" t="s">
        <v>10</v>
      </c>
      <c r="D8" s="1" t="s">
        <v>11</v>
      </c>
      <c r="E8" s="1" t="s">
        <v>49</v>
      </c>
      <c r="H8" s="2">
        <v>20</v>
      </c>
      <c r="I8" s="7">
        <v>10</v>
      </c>
      <c r="J8" s="5">
        <v>45292</v>
      </c>
      <c r="K8" s="6">
        <v>10</v>
      </c>
      <c r="R8" s="1" t="s">
        <v>18</v>
      </c>
      <c r="S8" t="s">
        <v>31</v>
      </c>
    </row>
    <row r="9" spans="2:19" x14ac:dyDescent="0.3">
      <c r="B9" t="str" cm="1">
        <f t="array" aca="1" ref="B9:B28" ca="1">"cust-"&amp;TEXT(_xlfn.RANDARRAY(H8,,1,I8,TRUE),"00")</f>
        <v>cust-02</v>
      </c>
      <c r="C9" s="3" cm="1">
        <f t="array" aca="1" ref="C9:C28" ca="1">_xlfn._xlws.SORT(_xlfn.RANDARRAY(H8,,J8,J9,TRUE))</f>
        <v>45298</v>
      </c>
      <c r="D9" s="4" cm="1">
        <f t="array" aca="1" ref="D9:D28" ca="1">_xlfn.RANDARRAY(H8,,K8,K9,TRUE)</f>
        <v>30</v>
      </c>
      <c r="E9" t="str" cm="1">
        <f t="array" aca="1" ref="E9:E28" ca="1">_xlfn.XLOOKUP(_xlfn.ANCHORARRAY(B9),_xlfn.ANCHORARRAY(H24),_xlfn.ANCHORARRAY(N24))</f>
        <v>Recurring</v>
      </c>
      <c r="J9" s="5">
        <v>46022</v>
      </c>
      <c r="K9" s="6">
        <v>150</v>
      </c>
      <c r="R9" cm="1">
        <f t="array" aca="1" ref="R9:R28" ca="1">YEAR(_xlfn.ANCHORARRAY(C9))</f>
        <v>2024</v>
      </c>
      <c r="S9" s="8" t="e" vm="1">
        <v>#VALUE!</v>
      </c>
    </row>
    <row r="10" spans="2:19" x14ac:dyDescent="0.3">
      <c r="B10" t="str">
        <f ca="1"/>
        <v>cust-08</v>
      </c>
      <c r="C10" s="3">
        <f ca="1"/>
        <v>45302</v>
      </c>
      <c r="D10" s="4">
        <f ca="1"/>
        <v>80</v>
      </c>
      <c r="E10" t="str">
        <f ca="1"/>
        <v>Recurring</v>
      </c>
      <c r="J10" t="s">
        <v>28</v>
      </c>
      <c r="K10">
        <f ca="1">SUM(_xlfn.ANCHORARRAY(K24))</f>
        <v>20</v>
      </c>
      <c r="R10">
        <f ca="1"/>
        <v>2024</v>
      </c>
    </row>
    <row r="11" spans="2:19" x14ac:dyDescent="0.3">
      <c r="B11" t="str">
        <f ca="1"/>
        <v>cust-07</v>
      </c>
      <c r="C11" s="3">
        <f ca="1"/>
        <v>45386</v>
      </c>
      <c r="D11" s="4">
        <f ca="1"/>
        <v>74</v>
      </c>
      <c r="E11" t="str">
        <f ca="1"/>
        <v>Recurring</v>
      </c>
      <c r="J11" t="s">
        <v>29</v>
      </c>
      <c r="K11">
        <f ca="1">COUNTA(_xlfn.ANCHORARRAY(H24))</f>
        <v>8</v>
      </c>
      <c r="R11">
        <f ca="1"/>
        <v>2024</v>
      </c>
    </row>
    <row r="12" spans="2:19" x14ac:dyDescent="0.3">
      <c r="B12" t="str">
        <f ca="1"/>
        <v>cust-05</v>
      </c>
      <c r="C12" s="3">
        <f ca="1"/>
        <v>45415</v>
      </c>
      <c r="D12" s="4">
        <f ca="1"/>
        <v>57</v>
      </c>
      <c r="E12" t="str">
        <f ca="1"/>
        <v>Recurring</v>
      </c>
      <c r="J12" t="s">
        <v>32</v>
      </c>
      <c r="K12" s="9">
        <f ca="1">SUM(_xlfn.ANCHORARRAY(D9))</f>
        <v>1320</v>
      </c>
      <c r="R12">
        <f ca="1"/>
        <v>2024</v>
      </c>
    </row>
    <row r="13" spans="2:19" x14ac:dyDescent="0.3">
      <c r="B13" t="str">
        <f ca="1"/>
        <v>cust-06</v>
      </c>
      <c r="C13" s="3">
        <f ca="1"/>
        <v>45431</v>
      </c>
      <c r="D13" s="4">
        <f ca="1"/>
        <v>37</v>
      </c>
      <c r="E13" t="str">
        <f ca="1"/>
        <v>Recurring</v>
      </c>
      <c r="R13">
        <f ca="1"/>
        <v>2024</v>
      </c>
    </row>
    <row r="14" spans="2:19" x14ac:dyDescent="0.3">
      <c r="B14" t="str">
        <f ca="1"/>
        <v>cust-06</v>
      </c>
      <c r="C14" s="3">
        <f ca="1"/>
        <v>45432</v>
      </c>
      <c r="D14" s="4">
        <f ca="1"/>
        <v>115</v>
      </c>
      <c r="E14" t="str">
        <f ca="1"/>
        <v>Recurring</v>
      </c>
      <c r="R14">
        <f ca="1"/>
        <v>2024</v>
      </c>
    </row>
    <row r="15" spans="2:19" x14ac:dyDescent="0.3">
      <c r="B15" t="str">
        <f ca="1"/>
        <v>cust-09</v>
      </c>
      <c r="C15" s="3">
        <f ca="1"/>
        <v>45445</v>
      </c>
      <c r="D15" s="4">
        <f ca="1"/>
        <v>21</v>
      </c>
      <c r="E15" t="str">
        <f ca="1"/>
        <v>Lost</v>
      </c>
      <c r="H15" t="s">
        <v>24</v>
      </c>
      <c r="J15" t="s">
        <v>23</v>
      </c>
      <c r="L15" t="s">
        <v>21</v>
      </c>
      <c r="R15">
        <f ca="1"/>
        <v>2024</v>
      </c>
    </row>
    <row r="16" spans="2:19" x14ac:dyDescent="0.3">
      <c r="B16" t="str">
        <f ca="1"/>
        <v>cust-02</v>
      </c>
      <c r="C16" s="3">
        <f ca="1"/>
        <v>45508</v>
      </c>
      <c r="D16" s="4">
        <f ca="1"/>
        <v>73</v>
      </c>
      <c r="E16" t="str">
        <f ca="1"/>
        <v>Recurring</v>
      </c>
      <c r="H16">
        <f ca="1">COUNTIF(_xlfn.ANCHORARRAY(N24),H15)</f>
        <v>1</v>
      </c>
      <c r="J16">
        <f ca="1">COUNTIF(_xlfn.ANCHORARRAY(N24),J15)</f>
        <v>5</v>
      </c>
      <c r="L16">
        <f ca="1">COUNTIF(_xlfn.ANCHORARRAY(N24),L15)</f>
        <v>2</v>
      </c>
      <c r="R16">
        <f ca="1"/>
        <v>2024</v>
      </c>
    </row>
    <row r="17" spans="2:18" x14ac:dyDescent="0.3">
      <c r="B17" t="str">
        <f ca="1"/>
        <v>cust-09</v>
      </c>
      <c r="C17" s="3">
        <f ca="1"/>
        <v>45597</v>
      </c>
      <c r="D17" s="4">
        <f ca="1"/>
        <v>103</v>
      </c>
      <c r="E17" t="str">
        <f ca="1"/>
        <v>Lost</v>
      </c>
      <c r="R17">
        <f ca="1"/>
        <v>2024</v>
      </c>
    </row>
    <row r="18" spans="2:18" x14ac:dyDescent="0.3">
      <c r="B18" t="str">
        <f ca="1"/>
        <v>cust-08</v>
      </c>
      <c r="C18" s="3">
        <f ca="1"/>
        <v>45685</v>
      </c>
      <c r="D18" s="4">
        <f ca="1"/>
        <v>38</v>
      </c>
      <c r="E18" t="str">
        <f ca="1"/>
        <v>Recurring</v>
      </c>
      <c r="R18">
        <f ca="1"/>
        <v>2025</v>
      </c>
    </row>
    <row r="19" spans="2:18" x14ac:dyDescent="0.3">
      <c r="B19" t="str">
        <f ca="1"/>
        <v>cust-05</v>
      </c>
      <c r="C19" s="3">
        <f ca="1"/>
        <v>45686</v>
      </c>
      <c r="D19" s="4">
        <f ca="1"/>
        <v>77</v>
      </c>
      <c r="E19" t="str">
        <f ca="1"/>
        <v>Recurring</v>
      </c>
      <c r="G19" s="1">
        <v>2024</v>
      </c>
      <c r="N19" s="1">
        <v>2025</v>
      </c>
      <c r="R19">
        <f ca="1"/>
        <v>2025</v>
      </c>
    </row>
    <row r="20" spans="2:18" x14ac:dyDescent="0.3">
      <c r="B20" t="str">
        <f ca="1"/>
        <v>cust-08</v>
      </c>
      <c r="C20" s="3">
        <f ca="1"/>
        <v>45713</v>
      </c>
      <c r="D20" s="4">
        <f ca="1"/>
        <v>97</v>
      </c>
      <c r="E20" t="str">
        <f ca="1"/>
        <v>Recurring</v>
      </c>
      <c r="G20" t="s">
        <v>26</v>
      </c>
      <c r="H20">
        <f ca="1">H16+J16</f>
        <v>6</v>
      </c>
      <c r="M20" t="s">
        <v>26</v>
      </c>
      <c r="N20">
        <f ca="1">J16+L16</f>
        <v>7</v>
      </c>
      <c r="R20">
        <f ca="1"/>
        <v>2025</v>
      </c>
    </row>
    <row r="21" spans="2:18" x14ac:dyDescent="0.3">
      <c r="B21" t="str">
        <f ca="1"/>
        <v>cust-06</v>
      </c>
      <c r="C21" s="3">
        <f ca="1"/>
        <v>45775</v>
      </c>
      <c r="D21" s="4">
        <f ca="1"/>
        <v>47</v>
      </c>
      <c r="E21" t="str">
        <f ca="1"/>
        <v>Recurring</v>
      </c>
      <c r="G21" t="s">
        <v>27</v>
      </c>
      <c r="H21" cm="1">
        <f t="array" aca="1" ref="H21" ca="1">SUMPRODUCT(--(YEAR(_xlfn.ANCHORARRAY(C9))=G19))</f>
        <v>9</v>
      </c>
      <c r="M21" t="s">
        <v>27</v>
      </c>
      <c r="N21" cm="1">
        <f t="array" aca="1" ref="N21" ca="1">SUMPRODUCT(--(YEAR(_xlfn.ANCHORARRAY(C9))=N19))</f>
        <v>11</v>
      </c>
      <c r="R21">
        <f ca="1"/>
        <v>2025</v>
      </c>
    </row>
    <row r="22" spans="2:18" x14ac:dyDescent="0.3">
      <c r="B22" t="str">
        <f ca="1"/>
        <v>cust-01</v>
      </c>
      <c r="C22" s="3">
        <f ca="1"/>
        <v>45809</v>
      </c>
      <c r="D22" s="4">
        <f ca="1"/>
        <v>74</v>
      </c>
      <c r="E22" t="str">
        <f ca="1"/>
        <v>New</v>
      </c>
      <c r="R22">
        <f ca="1"/>
        <v>2025</v>
      </c>
    </row>
    <row r="23" spans="2:18" x14ac:dyDescent="0.3">
      <c r="B23" t="str">
        <f ca="1"/>
        <v>cust-08</v>
      </c>
      <c r="C23" s="3">
        <f ca="1"/>
        <v>45813</v>
      </c>
      <c r="D23" s="4">
        <f ca="1"/>
        <v>34</v>
      </c>
      <c r="E23" t="str">
        <f ca="1"/>
        <v>Recurring</v>
      </c>
      <c r="H23" s="1" t="s">
        <v>9</v>
      </c>
      <c r="I23" s="1" t="s">
        <v>15</v>
      </c>
      <c r="J23" s="1" t="s">
        <v>25</v>
      </c>
      <c r="K23" s="1" t="s">
        <v>17</v>
      </c>
      <c r="L23">
        <f>YEAR(J8)</f>
        <v>2024</v>
      </c>
      <c r="M23">
        <v>2025</v>
      </c>
      <c r="N23" s="1" t="s">
        <v>19</v>
      </c>
      <c r="R23">
        <f ca="1"/>
        <v>2025</v>
      </c>
    </row>
    <row r="24" spans="2:18" x14ac:dyDescent="0.3">
      <c r="B24" t="str">
        <f ca="1"/>
        <v>cust-07</v>
      </c>
      <c r="C24" s="3">
        <f ca="1"/>
        <v>45815</v>
      </c>
      <c r="D24" s="4">
        <f ca="1"/>
        <v>51</v>
      </c>
      <c r="E24" t="str">
        <f ca="1"/>
        <v>Recurring</v>
      </c>
      <c r="H24" t="str" cm="1">
        <f t="array" aca="1" ref="H24:H31" ca="1">_xlfn._xlws.SORT(_xlfn.UNIQUE(_xlfn.ANCHORARRAY(B9)))</f>
        <v>cust-01</v>
      </c>
      <c r="I24" s="3" cm="1">
        <f t="array" aca="1" ref="I24:I31" ca="1">_xlfn.MAXIFS(_xlfn.ANCHORARRAY(C9),_xlfn.ANCHORARRAY(B9),_xlfn.ANCHORARRAY(H24))</f>
        <v>45809</v>
      </c>
      <c r="J24" cm="1">
        <f t="array" aca="1" ref="J24:J31" ca="1">YEAR(_xlfn.ANCHORARRAY(I24))</f>
        <v>2025</v>
      </c>
      <c r="K24" cm="1">
        <f t="array" aca="1" ref="K24:K31" ca="1">COUNTIFS(_xlfn.ANCHORARRAY(B9),_xlfn.ANCHORARRAY(H24))</f>
        <v>1</v>
      </c>
      <c r="L24" cm="1">
        <f t="array" aca="1" ref="L24:L31" ca="1">COUNTIFS(_xlfn.ANCHORARRAY(B9),_xlfn.ANCHORARRAY(H24),_xlfn.ANCHORARRAY(R9),L23)</f>
        <v>0</v>
      </c>
      <c r="M24" cm="1">
        <f t="array" aca="1" ref="M24:M31" ca="1">_xlfn.ANCHORARRAY(K24)-_xlfn.ANCHORARRAY(L24)</f>
        <v>1</v>
      </c>
      <c r="N24" t="str" cm="1">
        <f t="array" aca="1" ref="N24:N31" ca="1">IF(_xlfn.ANCHORARRAY(L24)=0,"New",IF(_xlfn.ANCHORARRAY(M24)=0,"Lost","Recurring"))</f>
        <v>New</v>
      </c>
      <c r="R24">
        <f ca="1"/>
        <v>2025</v>
      </c>
    </row>
    <row r="25" spans="2:18" x14ac:dyDescent="0.3">
      <c r="B25" t="str">
        <f ca="1"/>
        <v>cust-02</v>
      </c>
      <c r="C25" s="3">
        <f ca="1"/>
        <v>45915</v>
      </c>
      <c r="D25" s="4">
        <f ca="1"/>
        <v>132</v>
      </c>
      <c r="E25" t="str">
        <f ca="1"/>
        <v>Recurring</v>
      </c>
      <c r="H25" t="str">
        <f ca="1"/>
        <v>cust-02</v>
      </c>
      <c r="I25" s="3">
        <f ca="1"/>
        <v>45915</v>
      </c>
      <c r="J25">
        <f ca="1"/>
        <v>2025</v>
      </c>
      <c r="K25">
        <f ca="1"/>
        <v>3</v>
      </c>
      <c r="L25">
        <f ca="1"/>
        <v>2</v>
      </c>
      <c r="M25">
        <f ca="1"/>
        <v>1</v>
      </c>
      <c r="N25" t="str">
        <f ca="1"/>
        <v>Recurring</v>
      </c>
      <c r="R25">
        <f ca="1"/>
        <v>2025</v>
      </c>
    </row>
    <row r="26" spans="2:18" x14ac:dyDescent="0.3">
      <c r="B26" t="str">
        <f ca="1"/>
        <v>cust-10</v>
      </c>
      <c r="C26" s="3">
        <f ca="1"/>
        <v>45969</v>
      </c>
      <c r="D26" s="4">
        <f ca="1"/>
        <v>25</v>
      </c>
      <c r="E26" t="str">
        <f ca="1"/>
        <v>New</v>
      </c>
      <c r="H26" t="str">
        <f ca="1"/>
        <v>cust-05</v>
      </c>
      <c r="I26" s="3">
        <f ca="1"/>
        <v>45686</v>
      </c>
      <c r="J26">
        <f ca="1"/>
        <v>2025</v>
      </c>
      <c r="K26">
        <f ca="1"/>
        <v>2</v>
      </c>
      <c r="L26">
        <f ca="1"/>
        <v>1</v>
      </c>
      <c r="M26">
        <f ca="1"/>
        <v>1</v>
      </c>
      <c r="N26" t="str">
        <f ca="1"/>
        <v>Recurring</v>
      </c>
      <c r="R26">
        <f ca="1"/>
        <v>2025</v>
      </c>
    </row>
    <row r="27" spans="2:18" x14ac:dyDescent="0.3">
      <c r="B27" t="str">
        <f ca="1"/>
        <v>cust-10</v>
      </c>
      <c r="C27" s="3">
        <f ca="1"/>
        <v>45977</v>
      </c>
      <c r="D27" s="4">
        <f ca="1"/>
        <v>143</v>
      </c>
      <c r="E27" t="str">
        <f ca="1"/>
        <v>New</v>
      </c>
      <c r="H27" t="str">
        <f ca="1"/>
        <v>cust-06</v>
      </c>
      <c r="I27" s="3">
        <f ca="1"/>
        <v>45775</v>
      </c>
      <c r="J27">
        <f ca="1"/>
        <v>2025</v>
      </c>
      <c r="K27">
        <f ca="1"/>
        <v>3</v>
      </c>
      <c r="L27">
        <f ca="1"/>
        <v>2</v>
      </c>
      <c r="M27">
        <f ca="1"/>
        <v>1</v>
      </c>
      <c r="N27" t="str">
        <f ca="1"/>
        <v>Recurring</v>
      </c>
      <c r="R27">
        <f ca="1"/>
        <v>2025</v>
      </c>
    </row>
    <row r="28" spans="2:18" x14ac:dyDescent="0.3">
      <c r="B28" t="str">
        <f ca="1"/>
        <v>cust-08</v>
      </c>
      <c r="C28" s="3">
        <f ca="1"/>
        <v>45978</v>
      </c>
      <c r="D28" s="4">
        <f ca="1"/>
        <v>12</v>
      </c>
      <c r="E28" t="str">
        <f ca="1"/>
        <v>Recurring</v>
      </c>
      <c r="H28" t="str">
        <f ca="1"/>
        <v>cust-07</v>
      </c>
      <c r="I28" s="3">
        <f ca="1"/>
        <v>45815</v>
      </c>
      <c r="J28">
        <f ca="1"/>
        <v>2025</v>
      </c>
      <c r="K28">
        <f ca="1"/>
        <v>2</v>
      </c>
      <c r="L28">
        <f ca="1"/>
        <v>1</v>
      </c>
      <c r="M28">
        <f ca="1"/>
        <v>1</v>
      </c>
      <c r="N28" t="str">
        <f ca="1"/>
        <v>Recurring</v>
      </c>
      <c r="R28">
        <f ca="1"/>
        <v>2025</v>
      </c>
    </row>
    <row r="29" spans="2:18" x14ac:dyDescent="0.3">
      <c r="C29" s="3"/>
      <c r="D29" s="4"/>
      <c r="H29" t="str">
        <f ca="1"/>
        <v>cust-08</v>
      </c>
      <c r="I29" s="3">
        <f ca="1"/>
        <v>45978</v>
      </c>
      <c r="J29">
        <f ca="1"/>
        <v>2025</v>
      </c>
      <c r="K29">
        <f ca="1"/>
        <v>5</v>
      </c>
      <c r="L29">
        <f ca="1"/>
        <v>1</v>
      </c>
      <c r="M29">
        <f ca="1"/>
        <v>4</v>
      </c>
      <c r="N29" t="str">
        <f ca="1"/>
        <v>Recurring</v>
      </c>
    </row>
    <row r="30" spans="2:18" x14ac:dyDescent="0.3">
      <c r="C30" s="3"/>
      <c r="D30" s="4"/>
      <c r="H30" t="str">
        <f ca="1"/>
        <v>cust-09</v>
      </c>
      <c r="I30" s="3">
        <f ca="1"/>
        <v>45597</v>
      </c>
      <c r="J30">
        <f ca="1"/>
        <v>2024</v>
      </c>
      <c r="K30">
        <f ca="1"/>
        <v>2</v>
      </c>
      <c r="L30">
        <f ca="1"/>
        <v>2</v>
      </c>
      <c r="M30">
        <f ca="1"/>
        <v>0</v>
      </c>
      <c r="N30" t="str">
        <f ca="1"/>
        <v>Lost</v>
      </c>
    </row>
    <row r="31" spans="2:18" x14ac:dyDescent="0.3">
      <c r="C31" s="3"/>
      <c r="D31" s="4"/>
      <c r="H31" t="str">
        <f ca="1"/>
        <v>cust-10</v>
      </c>
      <c r="I31" s="3">
        <f ca="1"/>
        <v>45977</v>
      </c>
      <c r="J31">
        <f ca="1"/>
        <v>2025</v>
      </c>
      <c r="K31">
        <f ca="1"/>
        <v>2</v>
      </c>
      <c r="L31">
        <f ca="1"/>
        <v>0</v>
      </c>
      <c r="M31">
        <f ca="1"/>
        <v>2</v>
      </c>
      <c r="N31" t="str">
        <f ca="1"/>
        <v>New</v>
      </c>
    </row>
    <row r="32" spans="2:18" x14ac:dyDescent="0.3">
      <c r="C32" s="3"/>
      <c r="D32" s="4"/>
      <c r="I32" s="3"/>
    </row>
    <row r="33" spans="3:17" x14ac:dyDescent="0.3">
      <c r="C33" s="3"/>
      <c r="D33" s="4"/>
      <c r="I33" s="3"/>
    </row>
    <row r="34" spans="3:17" x14ac:dyDescent="0.3">
      <c r="C34" s="3"/>
      <c r="D34" s="4"/>
      <c r="I34" s="3"/>
    </row>
    <row r="35" spans="3:17" x14ac:dyDescent="0.3">
      <c r="C35" s="3"/>
      <c r="D35" s="4"/>
      <c r="I35" s="3"/>
    </row>
    <row r="36" spans="3:17" x14ac:dyDescent="0.3">
      <c r="C36" s="3"/>
      <c r="D36" s="4"/>
    </row>
    <row r="37" spans="3:17" x14ac:dyDescent="0.3">
      <c r="C37" s="3"/>
      <c r="D37" s="4"/>
      <c r="O37" s="9"/>
      <c r="P37" s="9"/>
      <c r="Q37" s="9"/>
    </row>
    <row r="38" spans="3:17" x14ac:dyDescent="0.3">
      <c r="C38" s="3"/>
      <c r="D38" s="4"/>
      <c r="O38" s="9"/>
      <c r="P38" s="9"/>
      <c r="Q38" s="9"/>
    </row>
    <row r="39" spans="3:17" x14ac:dyDescent="0.3">
      <c r="C39" s="3"/>
      <c r="D39" s="4"/>
      <c r="O39" s="9"/>
      <c r="P39" s="9"/>
      <c r="Q39" s="9"/>
    </row>
    <row r="40" spans="3:17" x14ac:dyDescent="0.3">
      <c r="C40" s="3"/>
      <c r="D40" s="4"/>
      <c r="O40" s="9"/>
      <c r="P40" s="9"/>
      <c r="Q40" s="9"/>
    </row>
    <row r="41" spans="3:17" x14ac:dyDescent="0.3">
      <c r="C41" s="3"/>
      <c r="D41" s="4"/>
      <c r="O41" s="9"/>
      <c r="P41" s="9"/>
      <c r="Q41" s="9"/>
    </row>
    <row r="42" spans="3:17" x14ac:dyDescent="0.3">
      <c r="C42" s="3"/>
      <c r="D42" s="4"/>
      <c r="O42" s="9"/>
      <c r="P42" s="9"/>
      <c r="Q42" s="9"/>
    </row>
    <row r="43" spans="3:17" x14ac:dyDescent="0.3">
      <c r="C43" s="3"/>
      <c r="D43" s="4"/>
      <c r="F43" t="str" cm="1">
        <f t="array" aca="1" ref="F43:F64" ca="1">All_Formulas(A1:O28)</f>
        <v>B9 : ="cust-"&amp;TEXT(RANDARRAY(H8;;1;I8;TRUE);"00")</v>
      </c>
    </row>
    <row r="44" spans="3:17" x14ac:dyDescent="0.3">
      <c r="C44" s="3"/>
      <c r="D44" s="4"/>
      <c r="F44" t="str">
        <f ca="1"/>
        <v>C9 : =SORT(RANDARRAY(H8;;J8;J9;TRUE))</v>
      </c>
    </row>
    <row r="45" spans="3:17" x14ac:dyDescent="0.3">
      <c r="C45" s="3"/>
      <c r="D45" s="4"/>
      <c r="F45" t="str">
        <f ca="1"/>
        <v>D9 : =RANDARRAY(H8;;K8;K9;TRUE)</v>
      </c>
    </row>
    <row r="46" spans="3:17" x14ac:dyDescent="0.3">
      <c r="C46" s="3"/>
      <c r="D46" s="4"/>
      <c r="F46" t="str">
        <f ca="1"/>
        <v>E9 : =XLOOKUP(B9#;H24#;N24#)</v>
      </c>
    </row>
    <row r="47" spans="3:17" x14ac:dyDescent="0.3">
      <c r="F47" t="str">
        <f ca="1"/>
        <v>K10 : =SUM(K24#)</v>
      </c>
    </row>
    <row r="48" spans="3:17" x14ac:dyDescent="0.3">
      <c r="F48" t="str">
        <f ca="1"/>
        <v>K11 : =COUNTA(H24#)</v>
      </c>
    </row>
    <row r="49" spans="6:6" x14ac:dyDescent="0.3">
      <c r="F49" t="str">
        <f ca="1"/>
        <v>K12 : =SUM(D9#)</v>
      </c>
    </row>
    <row r="50" spans="6:6" x14ac:dyDescent="0.3">
      <c r="F50" t="str">
        <f ca="1"/>
        <v>H16 : =COUNTIF(N24#;H15)</v>
      </c>
    </row>
    <row r="51" spans="6:6" x14ac:dyDescent="0.3">
      <c r="F51" t="str">
        <f ca="1"/>
        <v>J16 : =COUNTIF(N24#;J15)</v>
      </c>
    </row>
    <row r="52" spans="6:6" x14ac:dyDescent="0.3">
      <c r="F52" t="str">
        <f ca="1"/>
        <v>L16 : =COUNTIF(N24#;L15)</v>
      </c>
    </row>
    <row r="53" spans="6:6" x14ac:dyDescent="0.3">
      <c r="F53" t="str">
        <f ca="1"/>
        <v>H20 : =H16+J16</v>
      </c>
    </row>
    <row r="54" spans="6:6" x14ac:dyDescent="0.3">
      <c r="F54" t="str">
        <f ca="1"/>
        <v>N20 : =J16+L16</v>
      </c>
    </row>
    <row r="55" spans="6:6" x14ac:dyDescent="0.3">
      <c r="F55" t="str">
        <f ca="1"/>
        <v>H21 : =SUMPRODUCT(--(YEAR(C9#)=G19))</v>
      </c>
    </row>
    <row r="56" spans="6:6" x14ac:dyDescent="0.3">
      <c r="F56" t="str">
        <f ca="1"/>
        <v>N21 : =SUMPRODUCT(--(YEAR(C9#)=N19))</v>
      </c>
    </row>
    <row r="57" spans="6:6" x14ac:dyDescent="0.3">
      <c r="F57" t="str">
        <f ca="1"/>
        <v>L23 : =YEAR(J8)</v>
      </c>
    </row>
    <row r="58" spans="6:6" x14ac:dyDescent="0.3">
      <c r="F58" t="str">
        <f ca="1"/>
        <v>H24 : =SORT(UNIQUE(B9#))</v>
      </c>
    </row>
    <row r="59" spans="6:6" x14ac:dyDescent="0.3">
      <c r="F59" t="str">
        <f ca="1"/>
        <v>I24 : =MAXIFS(C9#;B9#;H24#)</v>
      </c>
    </row>
    <row r="60" spans="6:6" x14ac:dyDescent="0.3">
      <c r="F60" t="str">
        <f ca="1"/>
        <v>J24 : =YEAR(I24#)</v>
      </c>
    </row>
    <row r="61" spans="6:6" x14ac:dyDescent="0.3">
      <c r="F61" t="str">
        <f ca="1"/>
        <v>K24 : =COUNTIFS(B9#;H24#)</v>
      </c>
    </row>
    <row r="62" spans="6:6" x14ac:dyDescent="0.3">
      <c r="F62" t="str">
        <f ca="1"/>
        <v>L24 : =COUNTIFS(B9#;H24#;R9#;L23)</v>
      </c>
    </row>
    <row r="63" spans="6:6" x14ac:dyDescent="0.3">
      <c r="F63" t="str">
        <f ca="1"/>
        <v>M24 : =K24#-L24#</v>
      </c>
    </row>
    <row r="64" spans="6:6" x14ac:dyDescent="0.3">
      <c r="F64" t="str">
        <f ca="1"/>
        <v>N24 : =IF(L24#=0;"New";IF(M24#=0;"Lost";"Recurring"))</v>
      </c>
    </row>
  </sheetData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CB977-A014-4007-8A4B-2A9FD1431539}">
  <dimension ref="B8:M42"/>
  <sheetViews>
    <sheetView workbookViewId="0">
      <selection activeCell="D35" sqref="D35"/>
    </sheetView>
  </sheetViews>
  <sheetFormatPr defaultRowHeight="14" x14ac:dyDescent="0.3"/>
  <cols>
    <col min="2" max="2" width="10.9140625" customWidth="1"/>
    <col min="3" max="3" width="11.83203125" customWidth="1"/>
    <col min="5" max="5" width="10.75" customWidth="1"/>
    <col min="8" max="8" width="15.9140625" customWidth="1"/>
    <col min="9" max="9" width="19.4140625" customWidth="1"/>
    <col min="10" max="10" width="22.08203125" customWidth="1"/>
    <col min="11" max="11" width="28.33203125" customWidth="1"/>
  </cols>
  <sheetData>
    <row r="8" spans="2:13" x14ac:dyDescent="0.3">
      <c r="B8" t="s">
        <v>9</v>
      </c>
      <c r="C8" t="s">
        <v>10</v>
      </c>
      <c r="D8" t="s">
        <v>11</v>
      </c>
    </row>
    <row r="9" spans="2:13" x14ac:dyDescent="0.3">
      <c r="B9" s="8" t="s">
        <v>36</v>
      </c>
      <c r="C9" s="13">
        <v>45365</v>
      </c>
      <c r="D9" s="14">
        <v>14</v>
      </c>
      <c r="H9" s="16" t="s">
        <v>55</v>
      </c>
      <c r="I9" s="16" t="s">
        <v>52</v>
      </c>
    </row>
    <row r="10" spans="2:13" x14ac:dyDescent="0.3">
      <c r="B10" s="8" t="s">
        <v>37</v>
      </c>
      <c r="C10" s="13">
        <v>45433</v>
      </c>
      <c r="D10" s="14">
        <v>20</v>
      </c>
      <c r="H10" s="16" t="s">
        <v>9</v>
      </c>
      <c r="I10" t="s">
        <v>53</v>
      </c>
      <c r="J10" t="s">
        <v>54</v>
      </c>
      <c r="K10" t="s">
        <v>51</v>
      </c>
    </row>
    <row r="11" spans="2:13" x14ac:dyDescent="0.3">
      <c r="B11" s="8" t="s">
        <v>34</v>
      </c>
      <c r="C11" s="13">
        <v>45496</v>
      </c>
      <c r="D11" s="14">
        <v>34</v>
      </c>
      <c r="H11" t="s">
        <v>37</v>
      </c>
      <c r="I11" s="17">
        <v>20</v>
      </c>
      <c r="J11" s="17">
        <v>81</v>
      </c>
      <c r="K11" s="17">
        <v>101</v>
      </c>
      <c r="M11" t="str">
        <f>IF(I11=0,"New",IF(J11=0,"Lost","Recurring"))</f>
        <v>Recurring</v>
      </c>
    </row>
    <row r="12" spans="2:13" x14ac:dyDescent="0.3">
      <c r="B12" s="8" t="s">
        <v>43</v>
      </c>
      <c r="C12" s="13">
        <v>45522</v>
      </c>
      <c r="D12" s="14">
        <v>74</v>
      </c>
      <c r="H12" t="s">
        <v>38</v>
      </c>
      <c r="I12" s="17"/>
      <c r="J12" s="17">
        <v>132</v>
      </c>
      <c r="K12" s="17">
        <v>132</v>
      </c>
      <c r="M12" t="str">
        <f t="shared" ref="M12:M20" si="0">IF(I12=0,"New",IF(J12=0,"Lost","Recurring"))</f>
        <v>New</v>
      </c>
    </row>
    <row r="13" spans="2:13" x14ac:dyDescent="0.3">
      <c r="B13" s="8" t="s">
        <v>41</v>
      </c>
      <c r="C13" s="13">
        <v>45588</v>
      </c>
      <c r="D13" s="14">
        <v>43</v>
      </c>
      <c r="H13" t="s">
        <v>40</v>
      </c>
      <c r="I13" s="17"/>
      <c r="J13" s="17">
        <v>232</v>
      </c>
      <c r="K13" s="17">
        <v>232</v>
      </c>
      <c r="M13" t="str">
        <f t="shared" si="0"/>
        <v>New</v>
      </c>
    </row>
    <row r="14" spans="2:13" x14ac:dyDescent="0.3">
      <c r="B14" s="8" t="s">
        <v>40</v>
      </c>
      <c r="C14" s="13">
        <v>45749</v>
      </c>
      <c r="D14" s="14">
        <v>20</v>
      </c>
      <c r="H14" t="s">
        <v>36</v>
      </c>
      <c r="I14" s="17">
        <v>14</v>
      </c>
      <c r="J14" s="17">
        <v>224</v>
      </c>
      <c r="K14" s="17">
        <v>238</v>
      </c>
      <c r="M14" t="str">
        <f t="shared" si="0"/>
        <v>Recurring</v>
      </c>
    </row>
    <row r="15" spans="2:13" x14ac:dyDescent="0.3">
      <c r="B15" s="8" t="s">
        <v>39</v>
      </c>
      <c r="C15" s="13">
        <v>45809</v>
      </c>
      <c r="D15" s="14">
        <v>94</v>
      </c>
      <c r="H15" t="s">
        <v>43</v>
      </c>
      <c r="I15" s="17">
        <v>74</v>
      </c>
      <c r="J15" s="17">
        <v>226</v>
      </c>
      <c r="K15" s="17">
        <v>300</v>
      </c>
      <c r="M15" t="str">
        <f t="shared" si="0"/>
        <v>Recurring</v>
      </c>
    </row>
    <row r="16" spans="2:13" x14ac:dyDescent="0.3">
      <c r="B16" s="8" t="s">
        <v>39</v>
      </c>
      <c r="C16" s="13">
        <v>45867</v>
      </c>
      <c r="D16" s="14">
        <v>138</v>
      </c>
      <c r="H16" t="s">
        <v>41</v>
      </c>
      <c r="I16" s="17">
        <v>43</v>
      </c>
      <c r="J16" s="17"/>
      <c r="K16" s="17">
        <v>43</v>
      </c>
      <c r="M16" t="str">
        <f t="shared" si="0"/>
        <v>Lost</v>
      </c>
    </row>
    <row r="17" spans="2:13" x14ac:dyDescent="0.3">
      <c r="B17" s="8" t="s">
        <v>43</v>
      </c>
      <c r="C17" s="13">
        <v>45935</v>
      </c>
      <c r="D17" s="14">
        <v>88</v>
      </c>
      <c r="H17" t="s">
        <v>34</v>
      </c>
      <c r="I17" s="17">
        <v>34</v>
      </c>
      <c r="J17" s="17"/>
      <c r="K17" s="17">
        <v>34</v>
      </c>
      <c r="M17" t="str">
        <f t="shared" si="0"/>
        <v>Lost</v>
      </c>
    </row>
    <row r="18" spans="2:13" x14ac:dyDescent="0.3">
      <c r="B18" s="8" t="s">
        <v>40</v>
      </c>
      <c r="C18" s="13">
        <v>45938</v>
      </c>
      <c r="D18" s="14">
        <v>130</v>
      </c>
      <c r="H18" t="s">
        <v>39</v>
      </c>
      <c r="I18" s="17"/>
      <c r="J18" s="17">
        <v>232</v>
      </c>
      <c r="K18" s="17">
        <v>232</v>
      </c>
      <c r="M18" t="str">
        <f t="shared" si="0"/>
        <v>New</v>
      </c>
    </row>
    <row r="19" spans="2:13" x14ac:dyDescent="0.3">
      <c r="B19" s="8" t="s">
        <v>40</v>
      </c>
      <c r="C19" s="13">
        <v>45938</v>
      </c>
      <c r="D19" s="14">
        <v>82</v>
      </c>
      <c r="H19" t="s">
        <v>42</v>
      </c>
      <c r="I19" s="17"/>
      <c r="J19" s="17">
        <v>169</v>
      </c>
      <c r="K19" s="17">
        <v>169</v>
      </c>
      <c r="M19" t="str">
        <f t="shared" si="0"/>
        <v>New</v>
      </c>
    </row>
    <row r="20" spans="2:13" x14ac:dyDescent="0.3">
      <c r="B20" s="8" t="s">
        <v>36</v>
      </c>
      <c r="C20" s="13">
        <v>45939</v>
      </c>
      <c r="D20" s="14">
        <v>86</v>
      </c>
      <c r="H20" t="s">
        <v>35</v>
      </c>
      <c r="I20" s="17"/>
      <c r="J20" s="17">
        <v>118</v>
      </c>
      <c r="K20" s="17">
        <v>118</v>
      </c>
      <c r="M20" t="str">
        <f t="shared" si="0"/>
        <v>New</v>
      </c>
    </row>
    <row r="21" spans="2:13" x14ac:dyDescent="0.3">
      <c r="B21" s="8" t="s">
        <v>36</v>
      </c>
      <c r="C21" s="13">
        <v>45941</v>
      </c>
      <c r="D21" s="14">
        <v>138</v>
      </c>
      <c r="H21" t="s">
        <v>51</v>
      </c>
      <c r="I21" s="17">
        <v>185</v>
      </c>
      <c r="J21" s="17">
        <v>1414</v>
      </c>
      <c r="K21" s="17">
        <v>1599</v>
      </c>
    </row>
    <row r="22" spans="2:13" x14ac:dyDescent="0.3">
      <c r="B22" s="8" t="s">
        <v>38</v>
      </c>
      <c r="C22" s="13">
        <v>45954</v>
      </c>
      <c r="D22" s="14">
        <v>47</v>
      </c>
    </row>
    <row r="23" spans="2:13" x14ac:dyDescent="0.3">
      <c r="B23" s="8" t="s">
        <v>37</v>
      </c>
      <c r="C23" s="13">
        <v>45956</v>
      </c>
      <c r="D23" s="14">
        <v>81</v>
      </c>
    </row>
    <row r="24" spans="2:13" x14ac:dyDescent="0.3">
      <c r="B24" s="8" t="s">
        <v>43</v>
      </c>
      <c r="C24" s="13">
        <v>45961</v>
      </c>
      <c r="D24" s="14">
        <v>138</v>
      </c>
    </row>
    <row r="25" spans="2:13" x14ac:dyDescent="0.3">
      <c r="B25" s="8" t="s">
        <v>35</v>
      </c>
      <c r="C25" s="13">
        <v>45963</v>
      </c>
      <c r="D25" s="14">
        <v>118</v>
      </c>
    </row>
    <row r="26" spans="2:13" x14ac:dyDescent="0.3">
      <c r="B26" s="8" t="s">
        <v>42</v>
      </c>
      <c r="C26" s="13">
        <v>45980</v>
      </c>
      <c r="D26" s="14">
        <v>98</v>
      </c>
    </row>
    <row r="27" spans="2:13" x14ac:dyDescent="0.3">
      <c r="B27" s="8" t="s">
        <v>42</v>
      </c>
      <c r="C27" s="13">
        <v>45988</v>
      </c>
      <c r="D27" s="14">
        <v>71</v>
      </c>
    </row>
    <row r="28" spans="2:13" x14ac:dyDescent="0.3">
      <c r="B28" s="8" t="s">
        <v>38</v>
      </c>
      <c r="C28" s="13">
        <v>46022</v>
      </c>
      <c r="D28" s="14">
        <v>85</v>
      </c>
    </row>
    <row r="30" spans="2:13" x14ac:dyDescent="0.3">
      <c r="H30" s="16" t="s">
        <v>56</v>
      </c>
      <c r="I30" s="16" t="s">
        <v>52</v>
      </c>
    </row>
    <row r="31" spans="2:13" x14ac:dyDescent="0.3">
      <c r="H31" s="16" t="s">
        <v>9</v>
      </c>
      <c r="I31" t="s">
        <v>53</v>
      </c>
      <c r="J31" t="s">
        <v>54</v>
      </c>
      <c r="K31" t="s">
        <v>51</v>
      </c>
    </row>
    <row r="32" spans="2:13" x14ac:dyDescent="0.3">
      <c r="H32" t="s">
        <v>37</v>
      </c>
      <c r="I32" s="17">
        <v>1</v>
      </c>
      <c r="J32" s="17">
        <v>1</v>
      </c>
      <c r="K32" s="17">
        <v>2</v>
      </c>
    </row>
    <row r="33" spans="2:11" x14ac:dyDescent="0.3">
      <c r="B33" s="10"/>
      <c r="C33" s="10"/>
      <c r="D33" s="10"/>
      <c r="H33" t="s">
        <v>38</v>
      </c>
      <c r="I33" s="17"/>
      <c r="J33" s="17">
        <v>2</v>
      </c>
      <c r="K33" s="17">
        <v>2</v>
      </c>
    </row>
    <row r="34" spans="2:11" x14ac:dyDescent="0.3">
      <c r="H34" t="s">
        <v>40</v>
      </c>
      <c r="I34" s="17"/>
      <c r="J34" s="17">
        <v>3</v>
      </c>
      <c r="K34" s="17">
        <v>3</v>
      </c>
    </row>
    <row r="35" spans="2:11" x14ac:dyDescent="0.3">
      <c r="H35" t="s">
        <v>36</v>
      </c>
      <c r="I35" s="17">
        <v>1</v>
      </c>
      <c r="J35" s="17">
        <v>2</v>
      </c>
      <c r="K35" s="17">
        <v>3</v>
      </c>
    </row>
    <row r="36" spans="2:11" x14ac:dyDescent="0.3">
      <c r="H36" t="s">
        <v>43</v>
      </c>
      <c r="I36" s="17">
        <v>1</v>
      </c>
      <c r="J36" s="17">
        <v>2</v>
      </c>
      <c r="K36" s="17">
        <v>3</v>
      </c>
    </row>
    <row r="37" spans="2:11" x14ac:dyDescent="0.3">
      <c r="H37" t="s">
        <v>41</v>
      </c>
      <c r="I37" s="17">
        <v>1</v>
      </c>
      <c r="J37" s="17"/>
      <c r="K37" s="17">
        <v>1</v>
      </c>
    </row>
    <row r="38" spans="2:11" x14ac:dyDescent="0.3">
      <c r="H38" t="s">
        <v>34</v>
      </c>
      <c r="I38" s="17">
        <v>1</v>
      </c>
      <c r="J38" s="17"/>
      <c r="K38" s="17">
        <v>1</v>
      </c>
    </row>
    <row r="39" spans="2:11" x14ac:dyDescent="0.3">
      <c r="H39" t="s">
        <v>39</v>
      </c>
      <c r="I39" s="17"/>
      <c r="J39" s="17">
        <v>2</v>
      </c>
      <c r="K39" s="17">
        <v>2</v>
      </c>
    </row>
    <row r="40" spans="2:11" x14ac:dyDescent="0.3">
      <c r="H40" t="s">
        <v>42</v>
      </c>
      <c r="I40" s="17"/>
      <c r="J40" s="17">
        <v>2</v>
      </c>
      <c r="K40" s="17">
        <v>2</v>
      </c>
    </row>
    <row r="41" spans="2:11" x14ac:dyDescent="0.3">
      <c r="H41" t="s">
        <v>35</v>
      </c>
      <c r="I41" s="17"/>
      <c r="J41" s="17">
        <v>1</v>
      </c>
      <c r="K41" s="17">
        <v>1</v>
      </c>
    </row>
    <row r="42" spans="2:11" x14ac:dyDescent="0.3">
      <c r="H42" t="s">
        <v>51</v>
      </c>
      <c r="I42" s="17">
        <v>5</v>
      </c>
      <c r="J42" s="17">
        <v>15</v>
      </c>
      <c r="K42" s="17">
        <v>20</v>
      </c>
    </row>
  </sheetData>
  <pageMargins left="0.7" right="0.7" top="0.75" bottom="0.75" header="0.3" footer="0.3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31407-338B-4C39-A714-8D6D1820912A}">
  <dimension ref="B2:S75"/>
  <sheetViews>
    <sheetView showGridLines="0" topLeftCell="A3" workbookViewId="0">
      <selection activeCell="G43" sqref="G43:G49"/>
    </sheetView>
  </sheetViews>
  <sheetFormatPr defaultRowHeight="14" x14ac:dyDescent="0.3"/>
  <cols>
    <col min="2" max="2" width="14.33203125" customWidth="1"/>
    <col min="3" max="3" width="12.25" customWidth="1"/>
    <col min="7" max="7" width="10.75" customWidth="1"/>
    <col min="8" max="8" width="11.6640625" customWidth="1"/>
    <col min="9" max="9" width="14.6640625" customWidth="1"/>
    <col min="10" max="10" width="11.58203125" customWidth="1"/>
    <col min="11" max="11" width="13.6640625" customWidth="1"/>
    <col min="13" max="13" width="12.58203125" customWidth="1"/>
  </cols>
  <sheetData>
    <row r="2" spans="2:19" ht="28" x14ac:dyDescent="0.6">
      <c r="B2" s="15" t="s">
        <v>47</v>
      </c>
    </row>
    <row r="3" spans="2:19" x14ac:dyDescent="0.3">
      <c r="B3" s="8" t="s">
        <v>48</v>
      </c>
    </row>
    <row r="4" spans="2:19" x14ac:dyDescent="0.3">
      <c r="H4" s="1" t="s">
        <v>12</v>
      </c>
      <c r="I4" t="s">
        <v>16</v>
      </c>
      <c r="J4" s="1" t="s">
        <v>13</v>
      </c>
      <c r="K4" s="1" t="s">
        <v>14</v>
      </c>
    </row>
    <row r="5" spans="2:19" x14ac:dyDescent="0.3">
      <c r="B5" s="10" t="s">
        <v>9</v>
      </c>
      <c r="C5" s="10" t="s">
        <v>10</v>
      </c>
      <c r="D5" s="10" t="s">
        <v>11</v>
      </c>
      <c r="E5" s="1" t="s">
        <v>44</v>
      </c>
      <c r="H5" s="2">
        <v>20</v>
      </c>
      <c r="I5" s="7">
        <v>10</v>
      </c>
      <c r="J5" s="5">
        <v>45292</v>
      </c>
      <c r="K5" s="6">
        <v>10</v>
      </c>
      <c r="R5" s="1" t="s">
        <v>18</v>
      </c>
      <c r="S5" t="s">
        <v>31</v>
      </c>
    </row>
    <row r="6" spans="2:19" x14ac:dyDescent="0.3">
      <c r="B6" s="8" t="s">
        <v>36</v>
      </c>
      <c r="C6" s="13">
        <v>45365</v>
      </c>
      <c r="D6" s="14">
        <v>14</v>
      </c>
      <c r="E6" t="str" cm="1">
        <f t="array" ref="E6:E25">_xlfn.XLOOKUP(B6:B25,_xlfn.ANCHORARRAY($H$21),_xlfn.ANCHORARRAY($N$21))</f>
        <v>Recurring</v>
      </c>
      <c r="J6" s="5">
        <v>46022</v>
      </c>
      <c r="K6" s="6">
        <v>150</v>
      </c>
      <c r="R6" cm="1">
        <f t="array" ref="R6:R25">YEAR(C6:C25)</f>
        <v>2024</v>
      </c>
      <c r="S6" s="8" t="e" vm="1">
        <v>#VALUE!</v>
      </c>
    </row>
    <row r="7" spans="2:19" x14ac:dyDescent="0.3">
      <c r="B7" s="8" t="s">
        <v>37</v>
      </c>
      <c r="C7" s="13">
        <v>45433</v>
      </c>
      <c r="D7" s="14">
        <v>20</v>
      </c>
      <c r="E7" t="str">
        <v>Recurring</v>
      </c>
      <c r="J7" t="s">
        <v>28</v>
      </c>
      <c r="K7">
        <f>SUM(_xlfn.ANCHORARRAY(K21))</f>
        <v>20</v>
      </c>
      <c r="R7">
        <v>2024</v>
      </c>
    </row>
    <row r="8" spans="2:19" x14ac:dyDescent="0.3">
      <c r="B8" s="8" t="s">
        <v>34</v>
      </c>
      <c r="C8" s="13">
        <v>45496</v>
      </c>
      <c r="D8" s="14">
        <v>34</v>
      </c>
      <c r="E8" t="str">
        <v>Lost</v>
      </c>
      <c r="J8" t="s">
        <v>29</v>
      </c>
      <c r="K8">
        <f>COUNTA(_xlfn.ANCHORARRAY(H21))</f>
        <v>10</v>
      </c>
      <c r="R8">
        <v>2024</v>
      </c>
    </row>
    <row r="9" spans="2:19" x14ac:dyDescent="0.3">
      <c r="B9" s="8" t="s">
        <v>43</v>
      </c>
      <c r="C9" s="13">
        <v>45522</v>
      </c>
      <c r="D9" s="14">
        <v>74</v>
      </c>
      <c r="E9" t="str">
        <v>Recurring</v>
      </c>
      <c r="J9" t="s">
        <v>32</v>
      </c>
      <c r="K9" s="9">
        <f>SUM(D6:D25)</f>
        <v>1599</v>
      </c>
      <c r="R9">
        <v>2024</v>
      </c>
    </row>
    <row r="10" spans="2:19" x14ac:dyDescent="0.3">
      <c r="B10" s="8" t="s">
        <v>41</v>
      </c>
      <c r="C10" s="13">
        <v>45588</v>
      </c>
      <c r="D10" s="14">
        <v>43</v>
      </c>
      <c r="E10" t="str">
        <v>Lost</v>
      </c>
      <c r="R10">
        <v>2024</v>
      </c>
    </row>
    <row r="11" spans="2:19" x14ac:dyDescent="0.3">
      <c r="B11" s="8" t="s">
        <v>40</v>
      </c>
      <c r="C11" s="13">
        <v>45749</v>
      </c>
      <c r="D11" s="14">
        <v>20</v>
      </c>
      <c r="E11" t="str">
        <v>New</v>
      </c>
      <c r="R11">
        <v>2025</v>
      </c>
    </row>
    <row r="12" spans="2:19" x14ac:dyDescent="0.3">
      <c r="B12" s="8" t="s">
        <v>39</v>
      </c>
      <c r="C12" s="13">
        <v>45809</v>
      </c>
      <c r="D12" s="14">
        <v>94</v>
      </c>
      <c r="E12" t="str">
        <v>New</v>
      </c>
      <c r="H12" t="s">
        <v>24</v>
      </c>
      <c r="J12" t="s">
        <v>23</v>
      </c>
      <c r="L12" t="s">
        <v>21</v>
      </c>
      <c r="R12">
        <v>2025</v>
      </c>
    </row>
    <row r="13" spans="2:19" x14ac:dyDescent="0.3">
      <c r="B13" s="8" t="s">
        <v>39</v>
      </c>
      <c r="C13" s="13">
        <v>45867</v>
      </c>
      <c r="D13" s="14">
        <v>138</v>
      </c>
      <c r="E13" t="str">
        <v>New</v>
      </c>
      <c r="H13">
        <f>COUNTIF(_xlfn.ANCHORARRAY(N21),H12)</f>
        <v>2</v>
      </c>
      <c r="J13">
        <f>COUNTIF(_xlfn.ANCHORARRAY(N21),J12)</f>
        <v>3</v>
      </c>
      <c r="L13">
        <f>COUNTIF(_xlfn.ANCHORARRAY(N21),L12)</f>
        <v>5</v>
      </c>
      <c r="R13">
        <v>2025</v>
      </c>
    </row>
    <row r="14" spans="2:19" x14ac:dyDescent="0.3">
      <c r="B14" s="8" t="s">
        <v>43</v>
      </c>
      <c r="C14" s="13">
        <v>45935</v>
      </c>
      <c r="D14" s="14">
        <v>88</v>
      </c>
      <c r="E14" t="str">
        <v>Recurring</v>
      </c>
      <c r="R14">
        <v>2025</v>
      </c>
    </row>
    <row r="15" spans="2:19" x14ac:dyDescent="0.3">
      <c r="B15" s="8" t="s">
        <v>40</v>
      </c>
      <c r="C15" s="13">
        <v>45938</v>
      </c>
      <c r="D15" s="14">
        <v>130</v>
      </c>
      <c r="E15" t="str">
        <v>New</v>
      </c>
      <c r="R15">
        <v>2025</v>
      </c>
    </row>
    <row r="16" spans="2:19" x14ac:dyDescent="0.3">
      <c r="B16" s="8" t="s">
        <v>40</v>
      </c>
      <c r="C16" s="13">
        <v>45938</v>
      </c>
      <c r="D16" s="14">
        <v>82</v>
      </c>
      <c r="E16" t="str">
        <v>New</v>
      </c>
      <c r="G16" s="1">
        <v>2024</v>
      </c>
      <c r="N16" s="1">
        <v>2025</v>
      </c>
      <c r="R16">
        <v>2025</v>
      </c>
    </row>
    <row r="17" spans="2:18" x14ac:dyDescent="0.3">
      <c r="B17" s="8" t="s">
        <v>36</v>
      </c>
      <c r="C17" s="13">
        <v>45939</v>
      </c>
      <c r="D17" s="14">
        <v>86</v>
      </c>
      <c r="E17" t="str">
        <v>Recurring</v>
      </c>
      <c r="G17" t="s">
        <v>26</v>
      </c>
      <c r="H17">
        <f>H13+J13</f>
        <v>5</v>
      </c>
      <c r="M17" t="s">
        <v>26</v>
      </c>
      <c r="N17">
        <f>J13+L13</f>
        <v>8</v>
      </c>
      <c r="R17">
        <v>2025</v>
      </c>
    </row>
    <row r="18" spans="2:18" x14ac:dyDescent="0.3">
      <c r="B18" s="8" t="s">
        <v>36</v>
      </c>
      <c r="C18" s="13">
        <v>45941</v>
      </c>
      <c r="D18" s="14">
        <v>138</v>
      </c>
      <c r="E18" t="str">
        <v>Recurring</v>
      </c>
      <c r="G18" t="s">
        <v>27</v>
      </c>
      <c r="H18" cm="1">
        <f t="array" ref="H18">SUMPRODUCT(--(YEAR(C6:C25)=G16))</f>
        <v>5</v>
      </c>
      <c r="M18" t="s">
        <v>27</v>
      </c>
      <c r="N18" cm="1">
        <f t="array" ref="N18">SUMPRODUCT(--(YEAR(C6:C25)=N16))</f>
        <v>15</v>
      </c>
      <c r="R18">
        <v>2025</v>
      </c>
    </row>
    <row r="19" spans="2:18" x14ac:dyDescent="0.3">
      <c r="B19" s="8" t="s">
        <v>38</v>
      </c>
      <c r="C19" s="13">
        <v>45954</v>
      </c>
      <c r="D19" s="14">
        <v>47</v>
      </c>
      <c r="E19" t="str">
        <v>New</v>
      </c>
      <c r="R19">
        <v>2025</v>
      </c>
    </row>
    <row r="20" spans="2:18" x14ac:dyDescent="0.3">
      <c r="B20" s="8" t="s">
        <v>37</v>
      </c>
      <c r="C20" s="13">
        <v>45956</v>
      </c>
      <c r="D20" s="14">
        <v>81</v>
      </c>
      <c r="E20" t="str">
        <v>Recurring</v>
      </c>
      <c r="H20" s="1" t="s">
        <v>9</v>
      </c>
      <c r="I20" s="1" t="s">
        <v>15</v>
      </c>
      <c r="J20" s="1" t="s">
        <v>25</v>
      </c>
      <c r="K20" s="1" t="s">
        <v>17</v>
      </c>
      <c r="L20">
        <f>YEAR(J5)</f>
        <v>2024</v>
      </c>
      <c r="M20">
        <v>2025</v>
      </c>
      <c r="N20" s="1" t="s">
        <v>19</v>
      </c>
      <c r="R20">
        <v>2025</v>
      </c>
    </row>
    <row r="21" spans="2:18" x14ac:dyDescent="0.3">
      <c r="B21" s="8" t="s">
        <v>43</v>
      </c>
      <c r="C21" s="13">
        <v>45961</v>
      </c>
      <c r="D21" s="14">
        <v>138</v>
      </c>
      <c r="E21" t="str">
        <v>Recurring</v>
      </c>
      <c r="H21" t="str" cm="1">
        <f t="array" ref="H21:H30">_xlfn._xlws.SORT(_xlfn.UNIQUE(B6:B25))</f>
        <v>cust-01</v>
      </c>
      <c r="I21" s="3" cm="1">
        <f t="array" ref="I21:I30">_xlfn.MAXIFS(C6:C25,B6:B25,_xlfn.ANCHORARRAY(H21))</f>
        <v>45956</v>
      </c>
      <c r="J21" cm="1">
        <f t="array" ref="J21:J30">YEAR(_xlfn.ANCHORARRAY(I21))</f>
        <v>2025</v>
      </c>
      <c r="K21" cm="1">
        <f t="array" ref="K21:K30">COUNTIFS(B6:B25,_xlfn.ANCHORARRAY(H21))</f>
        <v>2</v>
      </c>
      <c r="L21" cm="1">
        <f t="array" ref="L21:L30">COUNTIFS(B6:B25,_xlfn.ANCHORARRAY(H21),_xlfn.ANCHORARRAY(R6),L20)</f>
        <v>1</v>
      </c>
      <c r="M21" cm="1">
        <f t="array" ref="M21:M30">_xlfn.ANCHORARRAY(K21)-_xlfn.ANCHORARRAY(L21)</f>
        <v>1</v>
      </c>
      <c r="N21" t="str" cm="1">
        <f t="array" ref="N21:N30">IF(_xlfn.ANCHORARRAY(L21)=0,"New",IF(_xlfn.ANCHORARRAY(M21)=0,"Lost","Recurring"))</f>
        <v>Recurring</v>
      </c>
      <c r="R21">
        <v>2025</v>
      </c>
    </row>
    <row r="22" spans="2:18" x14ac:dyDescent="0.3">
      <c r="B22" s="8" t="s">
        <v>35</v>
      </c>
      <c r="C22" s="13">
        <v>45963</v>
      </c>
      <c r="D22" s="14">
        <v>118</v>
      </c>
      <c r="E22" t="str">
        <v>New</v>
      </c>
      <c r="H22" t="str">
        <v>cust-02</v>
      </c>
      <c r="I22" s="3">
        <v>46022</v>
      </c>
      <c r="J22">
        <v>2025</v>
      </c>
      <c r="K22">
        <v>2</v>
      </c>
      <c r="L22">
        <v>0</v>
      </c>
      <c r="M22">
        <v>2</v>
      </c>
      <c r="N22" t="str">
        <v>New</v>
      </c>
      <c r="R22">
        <v>2025</v>
      </c>
    </row>
    <row r="23" spans="2:18" x14ac:dyDescent="0.3">
      <c r="B23" s="8" t="s">
        <v>42</v>
      </c>
      <c r="C23" s="13">
        <v>45980</v>
      </c>
      <c r="D23" s="14">
        <v>98</v>
      </c>
      <c r="E23" t="str">
        <v>New</v>
      </c>
      <c r="H23" t="str">
        <v>cust-03</v>
      </c>
      <c r="I23" s="3">
        <v>45938</v>
      </c>
      <c r="J23">
        <v>2025</v>
      </c>
      <c r="K23">
        <v>3</v>
      </c>
      <c r="L23">
        <v>0</v>
      </c>
      <c r="M23">
        <v>3</v>
      </c>
      <c r="N23" t="str">
        <v>New</v>
      </c>
      <c r="R23">
        <v>2025</v>
      </c>
    </row>
    <row r="24" spans="2:18" x14ac:dyDescent="0.3">
      <c r="B24" s="8" t="s">
        <v>42</v>
      </c>
      <c r="C24" s="13">
        <v>45988</v>
      </c>
      <c r="D24" s="14">
        <v>71</v>
      </c>
      <c r="E24" t="str">
        <v>New</v>
      </c>
      <c r="H24" t="str">
        <v>cust-04</v>
      </c>
      <c r="I24" s="3">
        <v>45941</v>
      </c>
      <c r="J24">
        <v>2025</v>
      </c>
      <c r="K24">
        <v>3</v>
      </c>
      <c r="L24">
        <v>1</v>
      </c>
      <c r="M24">
        <v>2</v>
      </c>
      <c r="N24" t="str">
        <v>Recurring</v>
      </c>
      <c r="R24">
        <v>2025</v>
      </c>
    </row>
    <row r="25" spans="2:18" x14ac:dyDescent="0.3">
      <c r="B25" s="8" t="s">
        <v>38</v>
      </c>
      <c r="C25" s="13">
        <v>46022</v>
      </c>
      <c r="D25" s="14">
        <v>85</v>
      </c>
      <c r="E25" t="str">
        <v>New</v>
      </c>
      <c r="H25" t="str">
        <v>cust-05</v>
      </c>
      <c r="I25" s="3">
        <v>45961</v>
      </c>
      <c r="J25">
        <v>2025</v>
      </c>
      <c r="K25">
        <v>3</v>
      </c>
      <c r="L25">
        <v>1</v>
      </c>
      <c r="M25">
        <v>2</v>
      </c>
      <c r="N25" t="str">
        <v>Recurring</v>
      </c>
      <c r="R25">
        <v>2025</v>
      </c>
    </row>
    <row r="26" spans="2:18" x14ac:dyDescent="0.3">
      <c r="C26" s="3"/>
      <c r="D26" s="4"/>
      <c r="H26" t="str">
        <v>cust-06</v>
      </c>
      <c r="I26" s="3">
        <v>45588</v>
      </c>
      <c r="J26">
        <v>2024</v>
      </c>
      <c r="K26">
        <v>1</v>
      </c>
      <c r="L26">
        <v>1</v>
      </c>
      <c r="M26">
        <v>0</v>
      </c>
      <c r="N26" t="str">
        <v>Lost</v>
      </c>
    </row>
    <row r="27" spans="2:18" x14ac:dyDescent="0.3">
      <c r="C27" s="3"/>
      <c r="D27" s="4"/>
      <c r="H27" t="str">
        <v>cust-07</v>
      </c>
      <c r="I27" s="3">
        <v>45496</v>
      </c>
      <c r="J27">
        <v>2024</v>
      </c>
      <c r="K27">
        <v>1</v>
      </c>
      <c r="L27">
        <v>1</v>
      </c>
      <c r="M27">
        <v>0</v>
      </c>
      <c r="N27" t="str">
        <v>Lost</v>
      </c>
    </row>
    <row r="28" spans="2:18" x14ac:dyDescent="0.3">
      <c r="C28" s="3"/>
      <c r="D28" s="4"/>
      <c r="H28" t="str">
        <v>cust-08</v>
      </c>
      <c r="I28" s="3">
        <v>45867</v>
      </c>
      <c r="J28">
        <v>2025</v>
      </c>
      <c r="K28">
        <v>2</v>
      </c>
      <c r="L28">
        <v>0</v>
      </c>
      <c r="M28">
        <v>2</v>
      </c>
      <c r="N28" t="str">
        <v>New</v>
      </c>
    </row>
    <row r="29" spans="2:18" x14ac:dyDescent="0.3">
      <c r="C29" s="3"/>
      <c r="D29" s="4"/>
      <c r="H29" t="str">
        <v>cust-09</v>
      </c>
      <c r="I29" s="3">
        <v>45988</v>
      </c>
      <c r="J29">
        <v>2025</v>
      </c>
      <c r="K29">
        <v>2</v>
      </c>
      <c r="L29">
        <v>0</v>
      </c>
      <c r="M29">
        <v>2</v>
      </c>
      <c r="N29" t="str">
        <v>New</v>
      </c>
    </row>
    <row r="30" spans="2:18" x14ac:dyDescent="0.3">
      <c r="C30" s="3"/>
      <c r="D30" s="4"/>
      <c r="H30" t="str">
        <v>cust-10</v>
      </c>
      <c r="I30" s="3">
        <v>45963</v>
      </c>
      <c r="J30">
        <v>2025</v>
      </c>
      <c r="K30">
        <v>1</v>
      </c>
      <c r="L30">
        <v>0</v>
      </c>
      <c r="M30">
        <v>1</v>
      </c>
      <c r="N30" t="str">
        <v>New</v>
      </c>
    </row>
    <row r="31" spans="2:18" x14ac:dyDescent="0.3">
      <c r="C31" s="3"/>
      <c r="D31" s="4"/>
      <c r="I31" s="3"/>
    </row>
    <row r="32" spans="2:18" x14ac:dyDescent="0.3">
      <c r="C32" s="3"/>
      <c r="D32" s="4"/>
      <c r="I32" s="3"/>
    </row>
    <row r="33" spans="2:18" x14ac:dyDescent="0.3">
      <c r="C33" s="3"/>
      <c r="D33" s="4"/>
      <c r="O33" s="1" t="s">
        <v>33</v>
      </c>
      <c r="P33" s="12">
        <v>2024</v>
      </c>
      <c r="Q33" s="12">
        <v>2025</v>
      </c>
    </row>
    <row r="34" spans="2:18" x14ac:dyDescent="0.3">
      <c r="C34" s="3"/>
      <c r="D34" s="4"/>
      <c r="H34" t="s">
        <v>30</v>
      </c>
      <c r="I34" t="str" cm="1">
        <f t="array" ref="I34">_xlfn.TEXTJOIN(", ",TRUE,_xlfn._xlws.FILTER(_xlfn.ANCHORARRAY(H21),_xlfn.ANCHORARRAY(N21)="Lost","no values"))</f>
        <v>cust-06, cust-07</v>
      </c>
      <c r="N34" t="s">
        <v>45</v>
      </c>
      <c r="O34" s="9">
        <f>+P34+Q34</f>
        <v>1599</v>
      </c>
      <c r="P34" s="11">
        <f>SUMIFS(D6:D25,_xlfn.ANCHORARRAY(R6),P33)</f>
        <v>185</v>
      </c>
      <c r="Q34" s="11">
        <f>SUMIFS(D6:D25,_xlfn.ANCHORARRAY(R6),Q33)</f>
        <v>1414</v>
      </c>
    </row>
    <row r="35" spans="2:18" x14ac:dyDescent="0.3">
      <c r="C35" s="3"/>
      <c r="D35" s="4"/>
      <c r="H35" t="s">
        <v>20</v>
      </c>
      <c r="I35" t="str" cm="1">
        <f t="array" ref="I35">_xlfn.TEXTJOIN(", ",TRUE,_xlfn._xlws.FILTER(_xlfn.ANCHORARRAY(H21),_xlfn.ANCHORARRAY(N21)="Recurring","no values"))</f>
        <v>cust-01, cust-04, cust-05</v>
      </c>
      <c r="N35" t="s">
        <v>24</v>
      </c>
      <c r="P35" s="11">
        <f>SUMIFS(D6:D25,E6:E25,N35)</f>
        <v>77</v>
      </c>
      <c r="Q35" s="8"/>
      <c r="R35" s="9"/>
    </row>
    <row r="36" spans="2:18" x14ac:dyDescent="0.3">
      <c r="C36" s="3"/>
      <c r="D36" s="4"/>
      <c r="H36" t="s">
        <v>22</v>
      </c>
      <c r="I36" t="str" cm="1">
        <f t="array" ref="I36">_xlfn.TEXTJOIN(", ",TRUE,_xlfn._xlws.FILTER(_xlfn.ANCHORARRAY(H21),_xlfn.ANCHORARRAY(N21)="New","no values"))</f>
        <v>cust-02, cust-03, cust-08, cust-09, cust-10</v>
      </c>
      <c r="N36" t="s">
        <v>23</v>
      </c>
      <c r="P36" s="8">
        <f>SUMIFS(D6:D25,E6:E25,N36,_xlfn.ANCHORARRAY(R6),P33)</f>
        <v>108</v>
      </c>
      <c r="Q36" s="8"/>
      <c r="R36" s="9"/>
    </row>
    <row r="37" spans="2:18" x14ac:dyDescent="0.3">
      <c r="C37" s="3"/>
      <c r="D37" s="4"/>
      <c r="N37" t="s">
        <v>21</v>
      </c>
      <c r="P37" s="8"/>
      <c r="Q37" s="11">
        <f>SUMIFS(D6:D25,E6:E25,N37)</f>
        <v>883</v>
      </c>
      <c r="R37" s="9"/>
    </row>
    <row r="38" spans="2:18" x14ac:dyDescent="0.3">
      <c r="C38" s="3"/>
      <c r="D38" s="4"/>
      <c r="N38" t="s">
        <v>23</v>
      </c>
      <c r="P38" s="11"/>
      <c r="Q38" s="8">
        <f>SUMIFS(D6:D25,E6:E25,N36,_xlfn.ANCHORARRAY(R6),Q33)</f>
        <v>531</v>
      </c>
      <c r="R38" s="9"/>
    </row>
    <row r="39" spans="2:18" x14ac:dyDescent="0.3">
      <c r="C39" s="3"/>
      <c r="D39" s="4"/>
      <c r="N39" t="s">
        <v>46</v>
      </c>
      <c r="O39" s="9">
        <f>+P39+Q39</f>
        <v>1599</v>
      </c>
      <c r="P39" s="9">
        <f>P35+P36</f>
        <v>185</v>
      </c>
      <c r="Q39" s="9">
        <f>+Q37+Q38</f>
        <v>1414</v>
      </c>
      <c r="R39" s="9"/>
    </row>
    <row r="40" spans="2:18" x14ac:dyDescent="0.3">
      <c r="C40" s="3"/>
      <c r="D40" s="4"/>
      <c r="O40" s="9"/>
      <c r="P40" s="9"/>
      <c r="Q40" s="9"/>
      <c r="R40" s="9"/>
    </row>
    <row r="41" spans="2:18" x14ac:dyDescent="0.3">
      <c r="B41" t="s">
        <v>57</v>
      </c>
      <c r="C41" s="3"/>
      <c r="D41" s="4"/>
      <c r="O41" s="9"/>
      <c r="P41" s="9"/>
      <c r="Q41" s="9"/>
      <c r="R41" s="9"/>
    </row>
    <row r="42" spans="2:18" x14ac:dyDescent="0.3">
      <c r="C42" s="3"/>
      <c r="D42" s="4"/>
    </row>
    <row r="43" spans="2:18" x14ac:dyDescent="0.3">
      <c r="B43" t="str" cm="1">
        <f t="array" aca="1" ref="B43:B75" ca="1">All_Formulas(A3:R42)</f>
        <v>E6 : =XLOOKUP(B6:B25;$H$21#;$N$21#)</v>
      </c>
      <c r="C43" s="3"/>
      <c r="D43" s="4"/>
    </row>
    <row r="44" spans="2:18" x14ac:dyDescent="0.3">
      <c r="B44" t="str">
        <f ca="1"/>
        <v>R6 : =YEAR(C6:C25)</v>
      </c>
      <c r="C44" s="3"/>
      <c r="D44" s="4"/>
    </row>
    <row r="45" spans="2:18" x14ac:dyDescent="0.3">
      <c r="B45" t="str">
        <f ca="1"/>
        <v>K7 : =SUM(K21#)</v>
      </c>
      <c r="C45" s="3"/>
      <c r="D45" s="4"/>
    </row>
    <row r="46" spans="2:18" x14ac:dyDescent="0.3">
      <c r="B46" t="str">
        <f ca="1"/>
        <v>K8 : =COUNTA(H21#)</v>
      </c>
    </row>
    <row r="47" spans="2:18" x14ac:dyDescent="0.3">
      <c r="B47" t="str">
        <f ca="1"/>
        <v>K9 : =SUM(D6:D25)</v>
      </c>
    </row>
    <row r="48" spans="2:18" x14ac:dyDescent="0.3">
      <c r="B48" t="str">
        <f ca="1"/>
        <v>H13 : =COUNTIF(N21#;H12)</v>
      </c>
    </row>
    <row r="49" spans="2:2" x14ac:dyDescent="0.3">
      <c r="B49" t="str">
        <f ca="1"/>
        <v>J13 : =COUNTIF(N21#;J12)</v>
      </c>
    </row>
    <row r="50" spans="2:2" x14ac:dyDescent="0.3">
      <c r="B50" t="str">
        <f ca="1"/>
        <v>L13 : =COUNTIF(N21#;L12)</v>
      </c>
    </row>
    <row r="51" spans="2:2" x14ac:dyDescent="0.3">
      <c r="B51" t="str">
        <f ca="1"/>
        <v>H17 : =H13+J13</v>
      </c>
    </row>
    <row r="52" spans="2:2" x14ac:dyDescent="0.3">
      <c r="B52" t="str">
        <f ca="1"/>
        <v>N17 : =J13+L13</v>
      </c>
    </row>
    <row r="53" spans="2:2" x14ac:dyDescent="0.3">
      <c r="B53" t="str">
        <f ca="1"/>
        <v>H18 : =SUMPRODUCT(--(YEAR(C6:C25)=G16))</v>
      </c>
    </row>
    <row r="54" spans="2:2" x14ac:dyDescent="0.3">
      <c r="B54" t="str">
        <f ca="1"/>
        <v>N18 : =SUMPRODUCT(--(YEAR(C6:C25)=N16))</v>
      </c>
    </row>
    <row r="55" spans="2:2" x14ac:dyDescent="0.3">
      <c r="B55" t="str">
        <f ca="1"/>
        <v>L20 : =YEAR(J5)</v>
      </c>
    </row>
    <row r="56" spans="2:2" x14ac:dyDescent="0.3">
      <c r="B56" t="str">
        <f ca="1"/>
        <v>H21 : =SORT(UNIQUE(B6:B25))</v>
      </c>
    </row>
    <row r="57" spans="2:2" x14ac:dyDescent="0.3">
      <c r="B57" t="str">
        <f ca="1"/>
        <v>I21 : =MAXIFS(C6:C25;B6:B25;H21#)</v>
      </c>
    </row>
    <row r="58" spans="2:2" x14ac:dyDescent="0.3">
      <c r="B58" t="str">
        <f ca="1"/>
        <v>J21 : =YEAR(I21#)</v>
      </c>
    </row>
    <row r="59" spans="2:2" x14ac:dyDescent="0.3">
      <c r="B59" t="str">
        <f ca="1"/>
        <v>K21 : =COUNTIFS(B6:B25;H21#)</v>
      </c>
    </row>
    <row r="60" spans="2:2" x14ac:dyDescent="0.3">
      <c r="B60" t="str">
        <f ca="1"/>
        <v>L21 : =COUNTIFS(B6:B25;H21#;R6#;L20)</v>
      </c>
    </row>
    <row r="61" spans="2:2" x14ac:dyDescent="0.3">
      <c r="B61" t="str">
        <f ca="1"/>
        <v>M21 : =K21#-L21#</v>
      </c>
    </row>
    <row r="62" spans="2:2" x14ac:dyDescent="0.3">
      <c r="B62" t="str">
        <f ca="1"/>
        <v>N21 : =IF(L21#=0;"New";IF(M21#=0;"Lost";"Recurring"))</v>
      </c>
    </row>
    <row r="63" spans="2:2" x14ac:dyDescent="0.3">
      <c r="B63" t="str">
        <f ca="1"/>
        <v>I34 : =TEXTJOIN(", ";TRUE;FILTER(H21#;N21#="Lost";"no values"))</v>
      </c>
    </row>
    <row r="64" spans="2:2" x14ac:dyDescent="0.3">
      <c r="B64" t="str">
        <f ca="1"/>
        <v>O34 : =+P34+Q34</v>
      </c>
    </row>
    <row r="65" spans="2:2" x14ac:dyDescent="0.3">
      <c r="B65" t="str">
        <f ca="1"/>
        <v>P34 : =SUMIFS(D6:D25;R6#;P33)</v>
      </c>
    </row>
    <row r="66" spans="2:2" x14ac:dyDescent="0.3">
      <c r="B66" t="str">
        <f ca="1"/>
        <v>Q34 : =SUMIFS(D6:D25;R6#;Q33)</v>
      </c>
    </row>
    <row r="67" spans="2:2" x14ac:dyDescent="0.3">
      <c r="B67" t="str">
        <f ca="1"/>
        <v>I35 : =TEXTJOIN(", ";TRUE;FILTER(H21#;N21#="Recurring";"no values"))</v>
      </c>
    </row>
    <row r="68" spans="2:2" x14ac:dyDescent="0.3">
      <c r="B68" t="str">
        <f ca="1"/>
        <v>P35 : =SUMIFS(D6:D25;E6:E25;N35)</v>
      </c>
    </row>
    <row r="69" spans="2:2" x14ac:dyDescent="0.3">
      <c r="B69" t="str">
        <f ca="1"/>
        <v>I36 : =TEXTJOIN(", ";TRUE;FILTER(H21#;N21#="New";"no values"))</v>
      </c>
    </row>
    <row r="70" spans="2:2" x14ac:dyDescent="0.3">
      <c r="B70" t="str">
        <f ca="1"/>
        <v>P36 : =SUMIFS(D6:D25;E6:E25;N36;R6#;P33)</v>
      </c>
    </row>
    <row r="71" spans="2:2" x14ac:dyDescent="0.3">
      <c r="B71" t="str">
        <f ca="1"/>
        <v>Q37 : =SUMIFS(D6:D25;E6:E25;N37)</v>
      </c>
    </row>
    <row r="72" spans="2:2" x14ac:dyDescent="0.3">
      <c r="B72" t="str">
        <f ca="1"/>
        <v>Q38 : =SUMIFS(D6:D25;E6:E25;N36;R6#;Q33)</v>
      </c>
    </row>
    <row r="73" spans="2:2" x14ac:dyDescent="0.3">
      <c r="B73" t="str">
        <f ca="1"/>
        <v>O39 : =+P39+Q39</v>
      </c>
    </row>
    <row r="74" spans="2:2" x14ac:dyDescent="0.3">
      <c r="B74" t="str">
        <f ca="1"/>
        <v>P39 : =P35+P36</v>
      </c>
    </row>
    <row r="75" spans="2:2" x14ac:dyDescent="0.3">
      <c r="B75" t="str">
        <f ca="1"/>
        <v>Q39 : =+Q37+Q38</v>
      </c>
    </row>
  </sheetData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06F61-8028-4A3C-AF67-CB603158203E}">
  <dimension ref="B3:D19"/>
  <sheetViews>
    <sheetView showGridLines="0" workbookViewId="0">
      <selection activeCell="D5" sqref="D5"/>
    </sheetView>
  </sheetViews>
  <sheetFormatPr defaultRowHeight="14" x14ac:dyDescent="0.3"/>
  <cols>
    <col min="2" max="2" width="20.58203125" customWidth="1"/>
    <col min="4" max="4" width="70" customWidth="1"/>
  </cols>
  <sheetData>
    <row r="3" spans="2:4" x14ac:dyDescent="0.3">
      <c r="B3" s="1" t="s">
        <v>1</v>
      </c>
      <c r="D3" s="2"/>
    </row>
    <row r="4" spans="2:4" x14ac:dyDescent="0.3">
      <c r="B4" s="1"/>
    </row>
    <row r="5" spans="2:4" x14ac:dyDescent="0.3">
      <c r="B5" s="1" t="s">
        <v>0</v>
      </c>
      <c r="D5" s="2"/>
    </row>
    <row r="6" spans="2:4" x14ac:dyDescent="0.3">
      <c r="B6" s="1"/>
    </row>
    <row r="7" spans="2:4" x14ac:dyDescent="0.3">
      <c r="B7" s="1" t="s">
        <v>7</v>
      </c>
      <c r="D7" s="2"/>
    </row>
    <row r="8" spans="2:4" x14ac:dyDescent="0.3">
      <c r="B8" s="1"/>
    </row>
    <row r="9" spans="2:4" x14ac:dyDescent="0.3">
      <c r="B9" s="1" t="s">
        <v>2</v>
      </c>
      <c r="D9" s="2"/>
    </row>
    <row r="10" spans="2:4" x14ac:dyDescent="0.3">
      <c r="B10" s="1"/>
    </row>
    <row r="11" spans="2:4" x14ac:dyDescent="0.3">
      <c r="B11" s="1" t="s">
        <v>3</v>
      </c>
      <c r="D11" s="2"/>
    </row>
    <row r="12" spans="2:4" x14ac:dyDescent="0.3">
      <c r="B12" s="1"/>
    </row>
    <row r="13" spans="2:4" x14ac:dyDescent="0.3">
      <c r="B13" s="1" t="s">
        <v>4</v>
      </c>
      <c r="D13" s="2"/>
    </row>
    <row r="14" spans="2:4" x14ac:dyDescent="0.3">
      <c r="B14" s="1"/>
    </row>
    <row r="15" spans="2:4" x14ac:dyDescent="0.3">
      <c r="B15" s="1" t="s">
        <v>5</v>
      </c>
      <c r="D15" s="2"/>
    </row>
    <row r="17" spans="2:4" x14ac:dyDescent="0.3">
      <c r="B17" s="1" t="s">
        <v>8</v>
      </c>
      <c r="D17" t="str" cm="1">
        <f t="array" aca="1" ref="D17" ca="1">LEFT(CELL("filename"), FIND("[", CELL("filename")) - 1)</f>
        <v>https://stichtingfontys-my.sharepoint.com/personal/879314_fontys_nl/Documents/Projecten 2026/Own Excel models 2026/</v>
      </c>
    </row>
    <row r="19" spans="2:4" x14ac:dyDescent="0.3">
      <c r="B19" s="1" t="s">
        <v>6</v>
      </c>
      <c r="D19" t="str">
        <f ca="1">_xlfn.TEXTAFTER(D17,"/",5)</f>
        <v>Documents/Projecten 2026/Own Excel models 2026/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RANDARRAY (more years)</vt:lpstr>
      <vt:lpstr>RANDARRAY</vt:lpstr>
      <vt:lpstr>Pivot</vt:lpstr>
      <vt:lpstr>Fixed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Titulaer,Bart J.B.M.</dc:creator>
  <cp:lastModifiedBy>Titulaer,Bart J.B.M.</cp:lastModifiedBy>
  <dcterms:created xsi:type="dcterms:W3CDTF">2025-08-30T09:53:15Z</dcterms:created>
  <dcterms:modified xsi:type="dcterms:W3CDTF">2026-02-17T16:59:22Z</dcterms:modified>
</cp:coreProperties>
</file>